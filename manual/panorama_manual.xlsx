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eu Drive\trabalho\projetos\panorama-fiscal-df\manual\"/>
    </mc:Choice>
  </mc:AlternateContent>
  <xr:revisionPtr revIDLastSave="0" documentId="13_ncr:1_{4D64C356-48B1-4F26-B708-890496E294BF}" xr6:coauthVersionLast="47" xr6:coauthVersionMax="47" xr10:uidLastSave="{00000000-0000-0000-0000-000000000000}"/>
  <bookViews>
    <workbookView xWindow="-28920" yWindow="-120" windowWidth="29040" windowHeight="15840" activeTab="9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  <sheet name="agend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<sst xmlns="http://schemas.openxmlformats.org/spreadsheetml/2006/main" count="231" uniqueCount="152">
  <si>
    <t>chave</t>
  </si>
  <si>
    <t>valor_bilhoes</t>
  </si>
  <si>
    <t>sub</t>
  </si>
  <si>
    <t>cor</t>
  </si>
  <si>
    <t>orcamento_df</t>
  </si>
  <si>
    <t>R$ 45,9 bi</t>
  </si>
  <si>
    <t>blue</t>
  </si>
  <si>
    <t>fcdf</t>
  </si>
  <si>
    <t>R$ 28,4 bi</t>
  </si>
  <si>
    <t>38% da despesa total (2025)</t>
  </si>
  <si>
    <t>investimento_rcl</t>
  </si>
  <si>
    <t>4,7%</t>
  </si>
  <si>
    <t>20º lugar no Brasil</t>
  </si>
  <si>
    <t>amber</t>
  </si>
  <si>
    <t>capag</t>
  </si>
  <si>
    <t>C</t>
  </si>
  <si>
    <t>Pior indicador: poupança corrente</t>
  </si>
  <si>
    <t>red</t>
  </si>
  <si>
    <t>caixa</t>
  </si>
  <si>
    <t>R$ 570 mi</t>
  </si>
  <si>
    <t>Dado de dez/2025</t>
  </si>
  <si>
    <t>beneficios (R$ 1,00)</t>
  </si>
  <si>
    <t>13447362101,71</t>
  </si>
  <si>
    <t>% da receita de impostos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</si>
  <si>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</si>
  <si>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</si>
  <si>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</si>
  <si>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</si>
  <si>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</si>
  <si>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</si>
  <si>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</si>
  <si>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</si>
  <si>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</si>
  <si>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</si>
  <si>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</si>
  <si>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</si>
  <si>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</si>
  <si>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</si>
  <si>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</si>
  <si>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</si>
  <si>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</si>
  <si>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</si>
  <si>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</si>
  <si>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</si>
  <si>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</si>
  <si>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</si>
  <si>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</si>
  <si>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</si>
  <si>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</si>
  <si>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</si>
  <si>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</si>
  <si>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</si>
  <si>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</si>
  <si>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</si>
  <si>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</si>
  <si>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Média BR</t>
  </si>
  <si>
    <t>green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</si>
  <si>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</si>
  <si>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</si>
  <si>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</si>
  <si>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</si>
  <si>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</si>
  <si>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</si>
  <si>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</si>
  <si>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</si>
  <si>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</si>
  <si>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</si>
  <si>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</si>
  <si>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</si>
  <si>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</si>
  <si>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</si>
  <si>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Endividamento (% da RCL)</t>
  </si>
  <si>
    <t>A</t>
  </si>
  <si>
    <t>30,85%</t>
  </si>
  <si>
    <t>Para nota A: &lt; 60% (espaço de R$ 11,4 bi)</t>
  </si>
  <si>
    <t>Mede a dívida consolidada do estado em relação à receita corrente líquida. Quanto menor, melhor. Abaixo de 60% da RCL = nota A.</t>
  </si>
  <si>
    <t>Poupança Corrente (Despesa/Receita)</t>
  </si>
  <si>
    <t>95,27%</t>
  </si>
  <si>
    <t>Para nota B: &lt; 95%</t>
  </si>
  <si>
    <t>Mede quanto das receitas correntes é consumido pelas despesas correntes. Acima de 95% significa que o estado gasta quase tudo que arrecada só para se manter, sem sobrar para investir.</t>
  </si>
  <si>
    <t>Liquidez Relativa (Dívida/RCL)</t>
  </si>
  <si>
    <t>B</t>
  </si>
  <si>
    <t>1,01%</t>
  </si>
  <si>
    <t>Para nota A: ≥ 5%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</si>
  <si>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</si>
  <si>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</si>
  <si>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</si>
  <si>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</si>
  <si>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</si>
  <si>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</si>
  <si>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</si>
  <si>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</si>
  <si>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</si>
  <si>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</si>
  <si>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</si>
  <si>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Prestação dos serviços de iluminação pública</t>
  </si>
  <si>
    <t>Contratada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</si>
  <si>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</si>
  <si>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</si>
  <si>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</si>
  <si>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</si>
  <si>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</si>
  <si>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</si>
  <si>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</si>
  <si>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</si>
  <si>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</si>
  <si>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</si>
  <si>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</si>
  <si>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</si>
  <si>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</si>
  <si>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</si>
  <si>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</si>
  <si>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</si>
  <si>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</si>
  <si>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</si>
  <si>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</si>
  <si>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</si>
  <si>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</si>
  <si>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</si>
  <si>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</si>
  <si>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</si>
  <si>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</si>
  <si>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</si>
  <si>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</si>
  <si>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</si>
  <si>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</si>
  <si>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</si>
  <si>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</si>
  <si>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</si>
  <si>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</si>
  <si>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</si>
  <si>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</si>
  <si>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</si>
  <si>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</si>
  <si>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</si>
  <si>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</si>
  <si>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eixo</t>
  </si>
  <si>
    <t>titulo</t>
  </si>
  <si>
    <t>item</t>
  </si>
  <si>
    <t>Revisão do gasto direto</t>
  </si>
  <si>
    <t>Avaliação de efetividade de políticas e programas</t>
  </si>
  <si>
    <t>Redesenho de programas sociais com baixa cobertura</t>
  </si>
  <si>
    <t>Receita e incentivos tributários</t>
  </si>
  <si>
    <t>Revisão cadastral e de base de cálculo do IPTU</t>
  </si>
  <si>
    <t>Poupança corrente e governança</t>
  </si>
  <si>
    <t>Reconstruir superávits correntes (sair da nota C)</t>
  </si>
  <si>
    <t>Criar Junta / Comitê Fiscal permanente</t>
  </si>
  <si>
    <t>Instituir governança sobre benefícios (prazo, contrapartidas, metas etc)</t>
  </si>
  <si>
    <t>Ampliar horizonte da política fiscal (metas plurianuais)</t>
  </si>
  <si>
    <t>Revisão de contratos e serviços continuados</t>
  </si>
  <si>
    <t>Internalizar FCDF no orçamento do DF</t>
  </si>
  <si>
    <t>Auditoria dos R$ 13,4 bi em benefícios fiscais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</si>
</sst>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5" formatCode="0_ ;\-0\ "/>
    <numFmt numFmtId="166" formatCode="#,##0.00_ ;\-#,##0.00\ 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17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  <xf numFmtId="166" fontId="1" fillId="0" borderId="0" xfId="1" applyNumberFormat="1" applyFont="1"/>
    <xf numFmtId="49" fontId="3" fillId="0" borderId="0" xfId="0" applyNumberFormat="1" applyFont="1"/>
    <xf numFmtId="2" fontId="1" fillId="0" borderId="0" xfId="1" applyNumberFormat="1" applyFont="1" applyAlignment="1">
      <alignment horizontal="right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E9" sqref="E9"/>
    </sheetView>
  </sheetViews>
  <sheetFormatPr defaultColWidth="12.5703125" defaultRowHeight="15.75" customHeight="1" x14ac:dyDescent="0.2"/>
  <cols>
    <col min="1" max="1" width="17.7109375" bestFit="1" customWidth="1"/>
    <col min="2" max="2" width="14" style="5" bestFit="1" customWidth="1"/>
    <col min="3" max="3" width="29.85546875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5</v>
      </c>
      <c r="C2" s="2"/>
      <c r="D2" s="2" t="s">
        <v>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7</v>
      </c>
      <c r="B3" s="4" t="s">
        <v>8</v>
      </c>
      <c r="C3" s="2" t="s">
        <v>9</v>
      </c>
      <c r="D3" s="2" t="s">
        <v>6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10</v>
      </c>
      <c r="B4" s="4" t="s">
        <v>11</v>
      </c>
      <c r="C4" s="2" t="s">
        <v>12</v>
      </c>
      <c r="D4" s="2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14</v>
      </c>
      <c r="B5" s="4" t="s">
        <v>15</v>
      </c>
      <c r="C5" s="2" t="s">
        <v>16</v>
      </c>
      <c r="D5" s="2" t="s">
        <v>17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18</v>
      </c>
      <c r="B6" s="4" t="s">
        <v>19</v>
      </c>
      <c r="C6" s="2" t="s">
        <v>20</v>
      </c>
      <c r="D6" s="2" t="s">
        <v>17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21</v>
      </c>
      <c r="B7" s="16" t="s">
        <v>22</v>
      </c>
      <c r="C7" s="15" t="s">
        <v>23</v>
      </c>
      <c r="D7" s="2" t="s">
        <v>13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24</v>
      </c>
      <c r="B1" s="3" t="s">
        <v>25</v>
      </c>
      <c r="C1" s="1" t="s">
        <v>26</v>
      </c>
      <c r="D1" s="1" t="s">
        <v>27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28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29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30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31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32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33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34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35</v>
      </c>
      <c r="B9" s="6">
        <v>4.7</v>
      </c>
      <c r="C9" s="7">
        <v>20</v>
      </c>
      <c r="D9" s="1" t="s">
        <v>17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36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37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38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39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40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41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42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43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44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45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46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47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48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49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50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51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52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53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54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55</v>
      </c>
      <c r="B29" s="9">
        <f>AVERAGE(B2:B28)</f>
        <v>8.4333333333333336</v>
      </c>
      <c r="C29" s="1"/>
      <c r="D29" s="8" t="s">
        <v>56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57</v>
      </c>
      <c r="B1" s="2" t="s">
        <v>58</v>
      </c>
      <c r="C1" s="2" t="s">
        <v>59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60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61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62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63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64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A5" sqref="A5"/>
    </sheetView>
  </sheetViews>
  <sheetFormatPr defaultColWidth="12.5703125" defaultRowHeight="15.75" customHeight="1" x14ac:dyDescent="0.2"/>
  <cols>
    <col min="1" max="1" width="33.42578125" bestFit="1" customWidth="1"/>
    <col min="4" max="4" width="37.5703125" bestFit="1" customWidth="1"/>
  </cols>
  <sheetData>
    <row r="1" spans="1:26" ht="12.75" customHeight="1" x14ac:dyDescent="0.2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2">
      <c r="A2" s="15" t="s">
        <v>71</v>
      </c>
      <c r="B2" s="2" t="s">
        <v>72</v>
      </c>
      <c r="C2" s="10" t="s">
        <v>73</v>
      </c>
      <c r="D2" s="2" t="s">
        <v>74</v>
      </c>
      <c r="E2" s="2" t="s">
        <v>56</v>
      </c>
      <c r="F2" s="2" t="s">
        <v>75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2">
      <c r="A3" s="15" t="s">
        <v>76</v>
      </c>
      <c r="B3" s="2" t="s">
        <v>15</v>
      </c>
      <c r="C3" s="10" t="s">
        <v>77</v>
      </c>
      <c r="D3" s="2" t="s">
        <v>78</v>
      </c>
      <c r="E3" s="2" t="s">
        <v>17</v>
      </c>
      <c r="F3" s="2" t="s">
        <v>79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">
      <c r="A4" s="15" t="s">
        <v>80</v>
      </c>
      <c r="B4" s="2" t="s">
        <v>81</v>
      </c>
      <c r="C4" s="10" t="s">
        <v>82</v>
      </c>
      <c r="D4" s="15" t="s">
        <v>83</v>
      </c>
      <c r="E4" s="2" t="s">
        <v>13</v>
      </c>
      <c r="F4" s="2" t="s">
        <v>84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57</v>
      </c>
      <c r="B1" s="2" t="s">
        <v>85</v>
      </c>
      <c r="C1" s="2" t="s">
        <v>86</v>
      </c>
      <c r="D1" s="2" t="s">
        <v>87</v>
      </c>
      <c r="E1" s="2" t="s">
        <v>88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89</v>
      </c>
      <c r="B2" s="2" t="s">
        <v>90</v>
      </c>
      <c r="C2" s="2" t="s">
        <v>90</v>
      </c>
      <c r="D2" s="2" t="s">
        <v>90</v>
      </c>
      <c r="E2" s="2" t="s">
        <v>15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91</v>
      </c>
      <c r="B3" s="2" t="s">
        <v>72</v>
      </c>
      <c r="C3" s="2" t="s">
        <v>15</v>
      </c>
      <c r="D3" s="2" t="s">
        <v>15</v>
      </c>
      <c r="E3" s="2" t="s">
        <v>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92</v>
      </c>
      <c r="B4" s="2" t="s">
        <v>72</v>
      </c>
      <c r="C4" s="2" t="s">
        <v>15</v>
      </c>
      <c r="D4" s="2" t="s">
        <v>15</v>
      </c>
      <c r="E4" s="2" t="s">
        <v>15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60</v>
      </c>
      <c r="B5" s="2" t="s">
        <v>72</v>
      </c>
      <c r="C5" s="2" t="s">
        <v>81</v>
      </c>
      <c r="D5" s="2" t="s">
        <v>72</v>
      </c>
      <c r="E5" s="2" t="s">
        <v>81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61</v>
      </c>
      <c r="B6" s="2" t="s">
        <v>72</v>
      </c>
      <c r="C6" s="2" t="s">
        <v>81</v>
      </c>
      <c r="D6" s="2" t="s">
        <v>72</v>
      </c>
      <c r="E6" s="2" t="s">
        <v>81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62</v>
      </c>
      <c r="B7" s="2" t="s">
        <v>72</v>
      </c>
      <c r="C7" s="2" t="s">
        <v>81</v>
      </c>
      <c r="D7" s="2" t="s">
        <v>72</v>
      </c>
      <c r="E7" s="2" t="s">
        <v>81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63</v>
      </c>
      <c r="B8" s="2" t="s">
        <v>72</v>
      </c>
      <c r="C8" s="2" t="s">
        <v>15</v>
      </c>
      <c r="D8" s="2" t="s">
        <v>81</v>
      </c>
      <c r="E8" s="2" t="s">
        <v>15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64</v>
      </c>
      <c r="B9" s="2" t="s">
        <v>72</v>
      </c>
      <c r="C9" s="2" t="s">
        <v>15</v>
      </c>
      <c r="D9" s="2" t="s">
        <v>81</v>
      </c>
      <c r="E9" s="2" t="s">
        <v>15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93</v>
      </c>
      <c r="B1" s="2" t="s">
        <v>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95</v>
      </c>
      <c r="B2" s="2" t="s">
        <v>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97</v>
      </c>
      <c r="B3" s="2" t="s">
        <v>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99</v>
      </c>
      <c r="B4" s="2" t="s">
        <v>98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100</v>
      </c>
      <c r="B5" s="2" t="s">
        <v>98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101</v>
      </c>
      <c r="B6" s="2" t="s">
        <v>98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102</v>
      </c>
      <c r="B7" s="2" t="s">
        <v>98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103</v>
      </c>
      <c r="B8" s="2" t="s">
        <v>98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104</v>
      </c>
      <c r="B9" s="2" t="s">
        <v>98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105</v>
      </c>
      <c r="B10" s="2" t="s">
        <v>98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106</v>
      </c>
      <c r="B11" s="2" t="s">
        <v>98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107</v>
      </c>
      <c r="B12" s="2" t="s">
        <v>108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57</v>
      </c>
      <c r="B1" s="2" t="s">
        <v>109</v>
      </c>
      <c r="C1" s="2" t="s">
        <v>110</v>
      </c>
      <c r="D1" s="2" t="s">
        <v>25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63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64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111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112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113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114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115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116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117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118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119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67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120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121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122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123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124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65</v>
      </c>
      <c r="B1" s="2" t="s">
        <v>125</v>
      </c>
      <c r="C1" s="2" t="s">
        <v>70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126</v>
      </c>
      <c r="B2" s="7">
        <v>25</v>
      </c>
      <c r="C2" s="2" t="s">
        <v>127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128</v>
      </c>
      <c r="B3" s="7">
        <v>23</v>
      </c>
      <c r="C3" s="2" t="s">
        <v>129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130</v>
      </c>
      <c r="B4" s="7">
        <v>22</v>
      </c>
      <c r="C4" s="2" t="s">
        <v>131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132</v>
      </c>
      <c r="B5" s="7">
        <v>22</v>
      </c>
      <c r="C5" s="2" t="s">
        <v>133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134</v>
      </c>
      <c r="B6" s="7">
        <v>23</v>
      </c>
      <c r="C6" s="2" t="s">
        <v>135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1"/>
  <sheetViews>
    <sheetView tabSelected="1" workbookViewId="0">
      <selection activeCell="D19" sqref="D19"/>
    </sheetView>
  </sheetViews>
  <sheetFormatPr defaultRowHeight="12.75" x14ac:dyDescent="0.2"/>
  <cols>
    <col min="1" max="1" width="6" customWidth="1"/>
    <col min="2" max="2" width="8" customWidth="1"/>
    <col min="3" max="3" width="35" customWidth="1"/>
    <col min="4" max="4" width="60" customWidth="1"/>
  </cols>
  <sheetData>
    <row r="1" spans="1:4" x14ac:dyDescent="0.2">
      <c r="A1" t="s">
        <v>136</v>
      </c>
      <c r="B1" t="s">
        <v>3</v>
      </c>
      <c r="C1" t="s">
        <v>137</v>
      </c>
      <c r="D1" t="s">
        <v>138</v>
      </c>
    </row>
    <row r="2" spans="1:4" x14ac:dyDescent="0.2">
      <c r="A2">
        <v>1</v>
      </c>
      <c r="B2" t="s">
        <v>56</v>
      </c>
      <c r="C2" t="s">
        <v>139</v>
      </c>
      <c r="D2" t="s">
        <v>149</v>
      </c>
    </row>
    <row r="3" spans="1:4" x14ac:dyDescent="0.2">
      <c r="A3">
        <v>1</v>
      </c>
      <c r="B3" t="s">
        <v>56</v>
      </c>
      <c r="C3" t="s">
        <v>139</v>
      </c>
      <c r="D3" t="s">
        <v>140</v>
      </c>
    </row>
    <row r="4" spans="1:4" x14ac:dyDescent="0.2">
      <c r="A4">
        <v>1</v>
      </c>
      <c r="B4" t="s">
        <v>56</v>
      </c>
      <c r="C4" t="s">
        <v>139</v>
      </c>
      <c r="D4" t="s">
        <v>141</v>
      </c>
    </row>
    <row r="5" spans="1:4" x14ac:dyDescent="0.2">
      <c r="A5">
        <v>2</v>
      </c>
      <c r="B5" t="s">
        <v>6</v>
      </c>
      <c r="C5" t="s">
        <v>142</v>
      </c>
      <c r="D5" t="s">
        <v>151</v>
      </c>
    </row>
    <row r="6" spans="1:4" x14ac:dyDescent="0.2">
      <c r="A6">
        <v>2</v>
      </c>
      <c r="B6" t="s">
        <v>6</v>
      </c>
      <c r="C6" t="s">
        <v>142</v>
      </c>
      <c r="D6" t="s">
        <v>147</v>
      </c>
    </row>
    <row r="7" spans="1:4" x14ac:dyDescent="0.2">
      <c r="A7">
        <v>2</v>
      </c>
      <c r="B7" t="s">
        <v>6</v>
      </c>
      <c r="C7" t="s">
        <v>142</v>
      </c>
      <c r="D7" t="s">
        <v>143</v>
      </c>
    </row>
    <row r="8" spans="1:4" x14ac:dyDescent="0.2">
      <c r="A8">
        <v>3</v>
      </c>
      <c r="B8" t="s">
        <v>13</v>
      </c>
      <c r="C8" t="s">
        <v>144</v>
      </c>
      <c r="D8" t="s">
        <v>145</v>
      </c>
    </row>
    <row r="9" spans="1:4" x14ac:dyDescent="0.2">
      <c r="A9">
        <v>3</v>
      </c>
      <c r="B9" t="s">
        <v>13</v>
      </c>
      <c r="C9" t="s">
        <v>144</v>
      </c>
      <c r="D9" t="s">
        <v>148</v>
      </c>
    </row>
    <row r="10" spans="1:4" x14ac:dyDescent="0.2">
      <c r="A10">
        <v>3</v>
      </c>
      <c r="B10" t="s">
        <v>13</v>
      </c>
      <c r="C10" t="s">
        <v>144</v>
      </c>
      <c r="D10" t="s">
        <v>146</v>
      </c>
    </row>
    <row r="11" spans="1:4" x14ac:dyDescent="0.2">
      <c r="A11">
        <v>3</v>
      </c>
      <c r="B11" t="s">
        <v>13</v>
      </c>
      <c r="C11" t="s">
        <v>144</v>
      </c>
      <c r="D11" t="s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  <vt:lpstr>agenda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2026-05-11T17:06:07Z</dcterms:modified>
</cp:coreProperties>
</file>
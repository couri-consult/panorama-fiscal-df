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Meu Drive\Trabalho\Fiscal DF\Panorama fiscal DF\dashboard\"/>
    </mc:Choice>
  </mc:AlternateContent>
  <xr:revisionPtr revIDLastSave="0" documentId="13_ncr:1_{7E834C7F-E63A-4ADB-8278-8AA0A0633A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kpis" sheetId="1" r:id="rId1"/>
    <sheet name="investimentos" sheetId="2" r:id="rId2"/>
    <sheet name="caixa" sheetId="3" r:id="rId3"/>
    <sheet name="capag" sheetId="4" r:id="rId4"/>
    <sheet name="capag_historico" sheetId="5" r:id="rId5"/>
    <sheet name="ppps" sheetId="6" r:id="rId6"/>
    <sheet name="ppps_projecao" sheetId="7" r:id="rId7"/>
    <sheet name="pessoal" sheetId="8" r:id="rId8"/>
    <sheet name="clp_ranking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2" l="1"/>
</calcChain>
</file>

<file path=xl/sharedStrings.xml><?xml version="1.0" encoding="utf-8"?>
<sst xmlns="http://schemas.openxmlformats.org/spreadsheetml/2006/main" count="198" uniqueCount="137">
  <si>
    <t>chave</t>
  </si>
  <si>
    <t>valor_bilhoes</t>
  </si>
  <si>
    <t>sub</t>
  </si>
  <si>
    <t>cor</t>
  </si>
  <si>
    <t>orcamento_df</t>
  </si>
  <si>
    <t>Receitas previstas</t>
  </si>
  <si>
    <t>blue</t>
  </si>
  <si>
    <t>fcdf</t>
  </si>
  <si>
    <t>38% da despesa total (2025)</t>
  </si>
  <si>
    <t>investimento_rcl</t>
  </si>
  <si>
    <t>20º lugar no Brasil</t>
  </si>
  <si>
    <t>amber</t>
  </si>
  <si>
    <t>capag</t>
  </si>
  <si>
    <t>C</t>
  </si>
  <si>
    <t>Poupança corrente: 95,27%</t>
  </si>
  <si>
    <t>red</t>
  </si>
  <si>
    <t>caixa</t>
  </si>
  <si>
    <t>Queda de 70% vs. 2021</t>
  </si>
  <si>
    <t>beneficios</t>
  </si>
  <si>
    <t>estado</t>
  </si>
  <si>
    <t>pct</t>
  </si>
  <si>
    <t>ranking</t>
  </si>
  <si>
    <t>destaque</t>
  </si>
  <si>
    <t>RN</t>
  </si>
  <si>
    <t>RR</t>
  </si>
  <si>
    <t>RO</t>
  </si>
  <si>
    <t>RS</t>
  </si>
  <si>
    <t>AM</t>
  </si>
  <si>
    <t>SP</t>
  </si>
  <si>
    <t>TO</t>
  </si>
  <si>
    <t>DF</t>
  </si>
  <si>
    <t>RJ</t>
  </si>
  <si>
    <t>AC</t>
  </si>
  <si>
    <t>MG</t>
  </si>
  <si>
    <t>SE</t>
  </si>
  <si>
    <t>AP</t>
  </si>
  <si>
    <t>PR</t>
  </si>
  <si>
    <t>green</t>
  </si>
  <si>
    <t>PE</t>
  </si>
  <si>
    <t>AL</t>
  </si>
  <si>
    <t>SC</t>
  </si>
  <si>
    <t>CE</t>
  </si>
  <si>
    <t>BA</t>
  </si>
  <si>
    <t>MS</t>
  </si>
  <si>
    <t>MT</t>
  </si>
  <si>
    <t>PB</t>
  </si>
  <si>
    <t>GO</t>
  </si>
  <si>
    <t>PA</t>
  </si>
  <si>
    <t>MA</t>
  </si>
  <si>
    <t>ES</t>
  </si>
  <si>
    <t>PI</t>
  </si>
  <si>
    <t>ano</t>
  </si>
  <si>
    <t>caixa_liquido</t>
  </si>
  <si>
    <t>nao_vinculado</t>
  </si>
  <si>
    <t>2021</t>
  </si>
  <si>
    <t>2022</t>
  </si>
  <si>
    <t>2023</t>
  </si>
  <si>
    <t>2024</t>
  </si>
  <si>
    <t>2025</t>
  </si>
  <si>
    <t>indicador</t>
  </si>
  <si>
    <t>nota</t>
  </si>
  <si>
    <t>valor</t>
  </si>
  <si>
    <t>obs</t>
  </si>
  <si>
    <t>badge</t>
  </si>
  <si>
    <t>conceito</t>
  </si>
  <si>
    <t>Endividamento</t>
  </si>
  <si>
    <t>A</t>
  </si>
  <si>
    <t>Espaço: R$ 11,4 bi sem perder nota A</t>
  </si>
  <si>
    <t>Mede a dívida consolidada do estado em relação à receita corrente líquida. Quanto menor, melhor. Abaixo de 60% da RCL = nota A.</t>
  </si>
  <si>
    <t>Poup. Corrente</t>
  </si>
  <si>
    <t>Acima de 95%: causa da nota C</t>
  </si>
  <si>
    <t>Mede quanto das receitas correntes é consumido pelas despesas correntes. Acima de 95% significa que o estado gasta quase tudo que arrecada só para se manter, sem sobrar para investir.</t>
  </si>
  <si>
    <t>Liquidez Relativa</t>
  </si>
  <si>
    <t>B</t>
  </si>
  <si>
    <t>Entre 0% e 5%</t>
  </si>
  <si>
    <t>Mede se o estado tem recursos disponíveis em caixa para honrar suas obrigações de curto prazo. Entre 0% e 5% = nota B.</t>
  </si>
  <si>
    <t>endividamento</t>
  </si>
  <si>
    <t>poupanca</t>
  </si>
  <si>
    <t>liquidez</t>
  </si>
  <si>
    <t>consolidado</t>
  </si>
  <si>
    <t>2018</t>
  </si>
  <si>
    <t>ND</t>
  </si>
  <si>
    <t>2019</t>
  </si>
  <si>
    <t>2020</t>
  </si>
  <si>
    <t>nome</t>
  </si>
  <si>
    <t>status</t>
  </si>
  <si>
    <t>Nova Saída Norte</t>
  </si>
  <si>
    <t>A contratar</t>
  </si>
  <si>
    <t>Avenida das Cidades</t>
  </si>
  <si>
    <t>Gestão do Aterro Sanitário</t>
  </si>
  <si>
    <t>Ecoparques</t>
  </si>
  <si>
    <t>Logística de Medicamentos</t>
  </si>
  <si>
    <t>Rede de Apoio de Diagnóstico</t>
  </si>
  <si>
    <t>Transporte Metroviário</t>
  </si>
  <si>
    <t>VLT na W3</t>
  </si>
  <si>
    <t>Processamento de roupas — Saúde</t>
  </si>
  <si>
    <t>BRT Sul e Oeste</t>
  </si>
  <si>
    <t>Suspenso</t>
  </si>
  <si>
    <t>Prestação dos serviços de iluminação pública</t>
  </si>
  <si>
    <t>Contratada</t>
  </si>
  <si>
    <t>despesas_ppp</t>
  </si>
  <si>
    <t>rcl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</si>
  <si>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</si>
  <si>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</si>
  <si>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</si>
  <si>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</si>
  <si>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</si>
  <si>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</si>
  <si>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</si>
  <si>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</si>
  <si>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</si>
  <si>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atual_pct</t>
  </si>
  <si>
    <t>alerta_pct</t>
  </si>
  <si>
    <t>prudencial_pct</t>
  </si>
  <si>
    <t>maximo_pct</t>
  </si>
  <si>
    <t>rcl_bi</t>
  </si>
  <si>
    <t>posicao</t>
  </si>
  <si>
    <t>Taxa de Investimentos</t>
  </si>
  <si>
    <t>Investimento liquidado dividido pela receita corrente líquida.</t>
  </si>
  <si>
    <t>Sucesso Planejamento Orçamentário</t>
  </si>
  <si>
    <t>Despesa liquidada pela despesa total atualizada (dotação orçamentária).</t>
  </si>
  <si>
    <t>Resultado Primário</t>
  </si>
  <si>
    <t>Diferença entre receita primária realizada e despesa primária empenhada no ano, dividida pelo PIB nominal do estado.</t>
  </si>
  <si>
    <t>Índice de Liquidez</t>
  </si>
  <si>
    <t>Obrigações financeiras divididas pelo caixa bruto. Quanto maior o indicador, pior.</t>
  </si>
  <si>
    <t>Regra de Ouro</t>
  </si>
  <si>
    <t>Diferença entre despesas de capital empenhadas e receita de operações de crédito, dividida pela receita corrente líquida.</t>
  </si>
  <si>
    <t>R$ 45,9 bi</t>
  </si>
  <si>
    <t>R$ 28,4 bi</t>
  </si>
  <si>
    <t>4,7%</t>
  </si>
  <si>
    <t>R$ 570 mi</t>
  </si>
  <si>
    <t>R$ 11,3 bi</t>
  </si>
  <si>
    <t>Média BR</t>
  </si>
  <si>
    <t>30,85%</t>
  </si>
  <si>
    <t>95,27%</t>
  </si>
  <si>
    <t>1,01%</t>
  </si>
  <si>
    <t>48% da receita de impostos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</si>
</sst>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8" formatCode="0_ ;\-0\ "/>
    <numFmt numFmtId="169" formatCode="#,##0.00_ ;\-#,##0.00\ 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49" fontId="1" fillId="0" borderId="0" xfId="0" applyNumberFormat="1" applyFont="1"/>
    <xf numFmtId="4" fontId="1" fillId="0" borderId="0" xfId="0" applyNumberFormat="1" applyFont="1"/>
    <xf numFmtId="49" fontId="1" fillId="0" borderId="0" xfId="0" applyNumberFormat="1" applyFont="1" applyAlignment="1">
      <alignment horizontal="right"/>
    </xf>
    <xf numFmtId="49" fontId="0" fillId="0" borderId="0" xfId="0" applyNumberFormat="1"/>
    <xf numFmtId="164" fontId="1" fillId="0" borderId="0" xfId="0" applyNumberFormat="1" applyFont="1" applyAlignment="1">
      <alignment horizontal="right"/>
    </xf>
    <xf numFmtId="1" fontId="1" fillId="0" borderId="0" xfId="0" applyNumberFormat="1" applyFont="1"/>
    <xf numFmtId="0" fontId="3" fillId="0" borderId="0" xfId="0" applyFont="1"/>
    <xf numFmtId="164" fontId="1" fillId="0" borderId="0" xfId="0" applyNumberFormat="1" applyFont="1"/>
    <xf numFmtId="49" fontId="3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/>
    </xf>
    <xf numFmtId="168" fontId="1" fillId="0" borderId="0" xfId="1" applyNumberFormat="1" applyFont="1" applyAlignment="1">
      <alignment horizontal="right"/>
    </xf>
    <xf numFmtId="168" fontId="1" fillId="0" borderId="0" xfId="1" applyNumberFormat="1" applyFont="1"/>
    <xf numFmtId="169" fontId="1" fillId="0" borderId="0" xfId="1" applyNumberFormat="1" applyFont="1"/>
    <xf numFmtId="49" fontId="3" fillId="0" borderId="0" xfId="0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C8" sqref="C8"/>
    </sheetView>
  </sheetViews>
  <sheetFormatPr defaultColWidth="12.5703125" defaultRowHeight="15.75" customHeight="1" x14ac:dyDescent="0.2"/>
  <cols>
    <col min="1" max="1" width="14.42578125" bestFit="1" customWidth="1"/>
    <col min="2" max="2" width="14" style="5" bestFit="1" customWidth="1"/>
    <col min="3" max="3" width="25.140625" bestFit="1" customWidth="1"/>
    <col min="4" max="4" width="6.140625" bestFit="1" customWidth="1"/>
  </cols>
  <sheetData>
    <row r="1" spans="1:26" x14ac:dyDescent="0.2">
      <c r="A1" s="1" t="s">
        <v>0</v>
      </c>
      <c r="B1" s="2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2" t="s">
        <v>4</v>
      </c>
      <c r="B2" s="4" t="s">
        <v>127</v>
      </c>
      <c r="C2" s="2" t="s">
        <v>5</v>
      </c>
      <c r="D2" s="2" t="s">
        <v>6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2" t="s">
        <v>7</v>
      </c>
      <c r="B3" s="4" t="s">
        <v>128</v>
      </c>
      <c r="C3" s="2" t="s">
        <v>8</v>
      </c>
      <c r="D3" s="2" t="s">
        <v>6</v>
      </c>
      <c r="E3" s="1"/>
      <c r="F3" s="1"/>
      <c r="G3" s="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2" t="s">
        <v>9</v>
      </c>
      <c r="B4" s="4" t="s">
        <v>129</v>
      </c>
      <c r="C4" s="2" t="s">
        <v>10</v>
      </c>
      <c r="D4" s="2" t="s">
        <v>11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2" t="s">
        <v>12</v>
      </c>
      <c r="B5" s="4" t="s">
        <v>13</v>
      </c>
      <c r="C5" s="2" t="s">
        <v>14</v>
      </c>
      <c r="D5" s="2" t="s">
        <v>15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2" t="s">
        <v>16</v>
      </c>
      <c r="B6" s="4" t="s">
        <v>130</v>
      </c>
      <c r="C6" s="2" t="s">
        <v>17</v>
      </c>
      <c r="D6" s="2" t="s">
        <v>15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2" t="s">
        <v>18</v>
      </c>
      <c r="B7" s="4" t="s">
        <v>131</v>
      </c>
      <c r="C7" s="15" t="s">
        <v>136</v>
      </c>
      <c r="D7" s="2" t="s">
        <v>11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1"/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1"/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1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1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1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1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0"/>
  <sheetViews>
    <sheetView workbookViewId="0">
      <selection activeCell="D16" sqref="D16"/>
    </sheetView>
  </sheetViews>
  <sheetFormatPr defaultColWidth="12.5703125" defaultRowHeight="15.75" customHeight="1" x14ac:dyDescent="0.2"/>
  <sheetData>
    <row r="1" spans="1:27" x14ac:dyDescent="0.2">
      <c r="A1" s="1" t="s">
        <v>19</v>
      </c>
      <c r="B1" s="3" t="s">
        <v>20</v>
      </c>
      <c r="C1" s="1" t="s">
        <v>21</v>
      </c>
      <c r="D1" s="1" t="s">
        <v>22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">
      <c r="A2" s="2" t="s">
        <v>23</v>
      </c>
      <c r="B2" s="6">
        <v>3.1</v>
      </c>
      <c r="C2" s="7">
        <v>27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">
      <c r="A3" s="2" t="s">
        <v>24</v>
      </c>
      <c r="B3" s="6">
        <v>3.4</v>
      </c>
      <c r="C3" s="7">
        <v>26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">
      <c r="A4" s="2" t="s">
        <v>25</v>
      </c>
      <c r="B4" s="6">
        <v>3.6</v>
      </c>
      <c r="C4" s="7">
        <v>25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2">
      <c r="A5" s="2" t="s">
        <v>26</v>
      </c>
      <c r="B5" s="6">
        <v>3.6</v>
      </c>
      <c r="C5" s="7">
        <v>24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">
      <c r="A6" s="2" t="s">
        <v>27</v>
      </c>
      <c r="B6" s="6">
        <v>4.3</v>
      </c>
      <c r="C6" s="7">
        <v>23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2">
      <c r="A7" s="2" t="s">
        <v>28</v>
      </c>
      <c r="B7" s="6">
        <v>4.4000000000000004</v>
      </c>
      <c r="C7" s="7">
        <v>22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2">
      <c r="A8" s="2" t="s">
        <v>29</v>
      </c>
      <c r="B8" s="6">
        <v>4.5999999999999996</v>
      </c>
      <c r="C8" s="7">
        <v>21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2">
      <c r="A9" s="2" t="s">
        <v>30</v>
      </c>
      <c r="B9" s="6">
        <v>4.7</v>
      </c>
      <c r="C9" s="7">
        <v>20</v>
      </c>
      <c r="D9" s="1" t="s">
        <v>15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x14ac:dyDescent="0.2">
      <c r="A10" s="2" t="s">
        <v>31</v>
      </c>
      <c r="B10" s="6">
        <v>5.4</v>
      </c>
      <c r="C10" s="7">
        <v>19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2">
      <c r="A11" s="2" t="s">
        <v>32</v>
      </c>
      <c r="B11" s="6">
        <v>5.5</v>
      </c>
      <c r="C11" s="7">
        <v>18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2">
      <c r="A12" s="2" t="s">
        <v>33</v>
      </c>
      <c r="B12" s="6">
        <v>5.9</v>
      </c>
      <c r="C12" s="7">
        <v>17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2">
      <c r="A13" s="2" t="s">
        <v>34</v>
      </c>
      <c r="B13" s="6">
        <v>6.5</v>
      </c>
      <c r="C13" s="7">
        <v>16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2">
      <c r="A14" s="2" t="s">
        <v>35</v>
      </c>
      <c r="B14" s="6">
        <v>7.5</v>
      </c>
      <c r="C14" s="7">
        <v>15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2">
      <c r="A15" s="2" t="s">
        <v>36</v>
      </c>
      <c r="B15" s="6">
        <v>8.4</v>
      </c>
      <c r="C15" s="7">
        <v>14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2">
      <c r="A16" s="2" t="s">
        <v>38</v>
      </c>
      <c r="B16" s="6">
        <v>9.1999999999999993</v>
      </c>
      <c r="C16" s="7">
        <v>13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2">
      <c r="A17" s="2" t="s">
        <v>39</v>
      </c>
      <c r="B17" s="6">
        <v>9.4</v>
      </c>
      <c r="C17" s="7">
        <v>12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2">
      <c r="A18" s="2" t="s">
        <v>40</v>
      </c>
      <c r="B18" s="6">
        <v>9.9</v>
      </c>
      <c r="C18" s="7">
        <v>11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2">
      <c r="A19" s="2" t="s">
        <v>41</v>
      </c>
      <c r="B19" s="6">
        <v>10.5</v>
      </c>
      <c r="C19" s="7">
        <v>10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2">
      <c r="A20" s="2" t="s">
        <v>42</v>
      </c>
      <c r="B20" s="6">
        <v>10.7</v>
      </c>
      <c r="C20" s="7">
        <v>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x14ac:dyDescent="0.2">
      <c r="A21" s="2" t="s">
        <v>43</v>
      </c>
      <c r="B21" s="6">
        <v>11.2</v>
      </c>
      <c r="C21" s="7">
        <v>8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x14ac:dyDescent="0.2">
      <c r="A22" s="2" t="s">
        <v>44</v>
      </c>
      <c r="B22" s="6">
        <v>12.1</v>
      </c>
      <c r="C22" s="7">
        <v>7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x14ac:dyDescent="0.2">
      <c r="A23" s="2" t="s">
        <v>45</v>
      </c>
      <c r="B23" s="6">
        <v>12.1</v>
      </c>
      <c r="C23" s="7">
        <v>6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x14ac:dyDescent="0.2">
      <c r="A24" s="2" t="s">
        <v>46</v>
      </c>
      <c r="B24" s="6">
        <v>12.6</v>
      </c>
      <c r="C24" s="7">
        <v>5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x14ac:dyDescent="0.2">
      <c r="A25" s="2" t="s">
        <v>47</v>
      </c>
      <c r="B25" s="6">
        <v>13.3</v>
      </c>
      <c r="C25" s="7">
        <v>4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2">
      <c r="A26" s="2" t="s">
        <v>48</v>
      </c>
      <c r="B26" s="6">
        <v>14</v>
      </c>
      <c r="C26" s="7">
        <v>3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2">
      <c r="A27" s="2" t="s">
        <v>49</v>
      </c>
      <c r="B27" s="6">
        <v>14.8</v>
      </c>
      <c r="C27" s="7">
        <v>2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2">
      <c r="A28" s="2" t="s">
        <v>50</v>
      </c>
      <c r="B28" s="6">
        <v>17</v>
      </c>
      <c r="C28" s="7">
        <v>1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2">
      <c r="A29" s="8" t="s">
        <v>132</v>
      </c>
      <c r="B29" s="9">
        <f>AVERAGE(B2:B28)</f>
        <v>8.4333333333333336</v>
      </c>
      <c r="C29" s="1"/>
      <c r="D29" s="8" t="s">
        <v>37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2">
      <c r="A30" s="1"/>
      <c r="B30" s="9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2">
      <c r="A31" s="1"/>
      <c r="B31" s="3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x14ac:dyDescent="0.2">
      <c r="A32" s="1"/>
      <c r="B32" s="3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x14ac:dyDescent="0.2">
      <c r="A33" s="1"/>
      <c r="B33" s="3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2">
      <c r="A34" s="1"/>
      <c r="B34" s="3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x14ac:dyDescent="0.2">
      <c r="A35" s="1"/>
      <c r="B35" s="3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2">
      <c r="A36" s="1"/>
      <c r="B36" s="3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2">
      <c r="A37" s="1"/>
      <c r="B37" s="3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2">
      <c r="A38" s="1"/>
      <c r="B38" s="3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2">
      <c r="A39" s="1"/>
      <c r="B39" s="3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2">
      <c r="A40" s="1"/>
      <c r="B40" s="3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2">
      <c r="A41" s="1"/>
      <c r="B41" s="3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2">
      <c r="A42" s="1"/>
      <c r="B42" s="3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2">
      <c r="A43" s="1"/>
      <c r="B43" s="3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2">
      <c r="A44" s="1"/>
      <c r="B44" s="3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2">
      <c r="A45" s="1"/>
      <c r="B45" s="3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2">
      <c r="A46" s="1"/>
      <c r="B46" s="3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2">
      <c r="A47" s="1"/>
      <c r="B47" s="3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2">
      <c r="A48" s="1"/>
      <c r="B48" s="3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2">
      <c r="A49" s="1"/>
      <c r="B49" s="3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2">
      <c r="A50" s="1"/>
      <c r="B50" s="3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2">
      <c r="A51" s="1"/>
      <c r="B51" s="3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2">
      <c r="A52" s="1"/>
      <c r="B52" s="3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2">
      <c r="A53" s="1"/>
      <c r="B53" s="3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2">
      <c r="A54" s="1"/>
      <c r="B54" s="3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x14ac:dyDescent="0.2">
      <c r="A55" s="1"/>
      <c r="B55" s="3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2">
      <c r="A56" s="1"/>
      <c r="B56" s="3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2">
      <c r="A57" s="1"/>
      <c r="B57" s="3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2">
      <c r="A58" s="1"/>
      <c r="B58" s="3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2">
      <c r="A59" s="1"/>
      <c r="B59" s="3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2">
      <c r="A60" s="1"/>
      <c r="B60" s="3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x14ac:dyDescent="0.2">
      <c r="A61" s="1"/>
      <c r="B61" s="3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x14ac:dyDescent="0.2">
      <c r="A62" s="1"/>
      <c r="B62" s="3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x14ac:dyDescent="0.2">
      <c r="A63" s="1"/>
      <c r="B63" s="3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x14ac:dyDescent="0.2">
      <c r="A64" s="1"/>
      <c r="B64" s="3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x14ac:dyDescent="0.2">
      <c r="A65" s="1"/>
      <c r="B65" s="3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x14ac:dyDescent="0.2">
      <c r="A66" s="1"/>
      <c r="B66" s="3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x14ac:dyDescent="0.2">
      <c r="A67" s="1"/>
      <c r="B67" s="3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x14ac:dyDescent="0.2">
      <c r="A68" s="1"/>
      <c r="B68" s="3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x14ac:dyDescent="0.2">
      <c r="A69" s="1"/>
      <c r="B69" s="3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x14ac:dyDescent="0.2">
      <c r="A70" s="1"/>
      <c r="B70" s="3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x14ac:dyDescent="0.2">
      <c r="A71" s="1"/>
      <c r="B71" s="3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x14ac:dyDescent="0.2">
      <c r="A72" s="1"/>
      <c r="B72" s="3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x14ac:dyDescent="0.2">
      <c r="A73" s="1"/>
      <c r="B73" s="3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x14ac:dyDescent="0.2">
      <c r="A74" s="1"/>
      <c r="B74" s="3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x14ac:dyDescent="0.2">
      <c r="A75" s="1"/>
      <c r="B75" s="3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x14ac:dyDescent="0.2">
      <c r="A76" s="1"/>
      <c r="B76" s="3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x14ac:dyDescent="0.2">
      <c r="A77" s="1"/>
      <c r="B77" s="3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x14ac:dyDescent="0.2">
      <c r="A78" s="1"/>
      <c r="B78" s="3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x14ac:dyDescent="0.2">
      <c r="A79" s="1"/>
      <c r="B79" s="3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x14ac:dyDescent="0.2">
      <c r="A80" s="1"/>
      <c r="B80" s="3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x14ac:dyDescent="0.2">
      <c r="A81" s="1"/>
      <c r="B81" s="3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x14ac:dyDescent="0.2">
      <c r="A82" s="1"/>
      <c r="B82" s="3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x14ac:dyDescent="0.2">
      <c r="A83" s="1"/>
      <c r="B83" s="3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x14ac:dyDescent="0.2">
      <c r="A84" s="1"/>
      <c r="B84" s="3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x14ac:dyDescent="0.2">
      <c r="A85" s="1"/>
      <c r="B85" s="3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x14ac:dyDescent="0.2">
      <c r="A86" s="1"/>
      <c r="B86" s="3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x14ac:dyDescent="0.2">
      <c r="A87" s="1"/>
      <c r="B87" s="3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x14ac:dyDescent="0.2">
      <c r="A88" s="1"/>
      <c r="B88" s="3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x14ac:dyDescent="0.2">
      <c r="A89" s="1"/>
      <c r="B89" s="3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x14ac:dyDescent="0.2">
      <c r="A90" s="1"/>
      <c r="B90" s="3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x14ac:dyDescent="0.2">
      <c r="A91" s="1"/>
      <c r="B91" s="3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x14ac:dyDescent="0.2">
      <c r="A92" s="1"/>
      <c r="B92" s="3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x14ac:dyDescent="0.2">
      <c r="A93" s="1"/>
      <c r="B93" s="3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x14ac:dyDescent="0.2">
      <c r="A94" s="1"/>
      <c r="B94" s="3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x14ac:dyDescent="0.2">
      <c r="A95" s="1"/>
      <c r="B95" s="3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x14ac:dyDescent="0.2">
      <c r="A96" s="1"/>
      <c r="B96" s="3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x14ac:dyDescent="0.2">
      <c r="A97" s="1"/>
      <c r="B97" s="3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x14ac:dyDescent="0.2">
      <c r="A98" s="1"/>
      <c r="B98" s="3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x14ac:dyDescent="0.2">
      <c r="A99" s="1"/>
      <c r="B99" s="3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x14ac:dyDescent="0.2">
      <c r="A100" s="1"/>
      <c r="B100" s="3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x14ac:dyDescent="0.2">
      <c r="A101" s="1"/>
      <c r="B101" s="3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x14ac:dyDescent="0.2">
      <c r="A102" s="1"/>
      <c r="B102" s="3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x14ac:dyDescent="0.2">
      <c r="A103" s="1"/>
      <c r="B103" s="3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x14ac:dyDescent="0.2">
      <c r="A104" s="1"/>
      <c r="B104" s="3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x14ac:dyDescent="0.2">
      <c r="A105" s="1"/>
      <c r="B105" s="3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x14ac:dyDescent="0.2">
      <c r="A106" s="1"/>
      <c r="B106" s="3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x14ac:dyDescent="0.2">
      <c r="A107" s="1"/>
      <c r="B107" s="3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x14ac:dyDescent="0.2">
      <c r="A108" s="1"/>
      <c r="B108" s="3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x14ac:dyDescent="0.2">
      <c r="A109" s="1"/>
      <c r="B109" s="3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x14ac:dyDescent="0.2">
      <c r="A110" s="1"/>
      <c r="B110" s="3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x14ac:dyDescent="0.2">
      <c r="A111" s="1"/>
      <c r="B111" s="3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x14ac:dyDescent="0.2">
      <c r="A112" s="1"/>
      <c r="B112" s="3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x14ac:dyDescent="0.2">
      <c r="A113" s="1"/>
      <c r="B113" s="3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x14ac:dyDescent="0.2">
      <c r="A114" s="1"/>
      <c r="B114" s="3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x14ac:dyDescent="0.2">
      <c r="A115" s="1"/>
      <c r="B115" s="3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x14ac:dyDescent="0.2">
      <c r="A116" s="1"/>
      <c r="B116" s="3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x14ac:dyDescent="0.2">
      <c r="A117" s="1"/>
      <c r="B117" s="3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x14ac:dyDescent="0.2">
      <c r="A118" s="1"/>
      <c r="B118" s="3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x14ac:dyDescent="0.2">
      <c r="A119" s="1"/>
      <c r="B119" s="3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x14ac:dyDescent="0.2">
      <c r="A120" s="1"/>
      <c r="B120" s="3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x14ac:dyDescent="0.2">
      <c r="A121" s="1"/>
      <c r="B121" s="3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x14ac:dyDescent="0.2">
      <c r="A122" s="1"/>
      <c r="B122" s="3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x14ac:dyDescent="0.2">
      <c r="A123" s="1"/>
      <c r="B123" s="3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x14ac:dyDescent="0.2">
      <c r="A124" s="1"/>
      <c r="B124" s="3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x14ac:dyDescent="0.2">
      <c r="A125" s="1"/>
      <c r="B125" s="3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x14ac:dyDescent="0.2">
      <c r="A126" s="1"/>
      <c r="B126" s="3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x14ac:dyDescent="0.2">
      <c r="A127" s="1"/>
      <c r="B127" s="3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x14ac:dyDescent="0.2">
      <c r="A128" s="1"/>
      <c r="B128" s="3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x14ac:dyDescent="0.2">
      <c r="A129" s="1"/>
      <c r="B129" s="3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x14ac:dyDescent="0.2">
      <c r="A130" s="1"/>
      <c r="B130" s="3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x14ac:dyDescent="0.2">
      <c r="A131" s="1"/>
      <c r="B131" s="3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x14ac:dyDescent="0.2">
      <c r="A132" s="1"/>
      <c r="B132" s="3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x14ac:dyDescent="0.2">
      <c r="A133" s="1"/>
      <c r="B133" s="3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x14ac:dyDescent="0.2">
      <c r="A134" s="1"/>
      <c r="B134" s="3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x14ac:dyDescent="0.2">
      <c r="A135" s="1"/>
      <c r="B135" s="3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x14ac:dyDescent="0.2">
      <c r="A136" s="1"/>
      <c r="B136" s="3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x14ac:dyDescent="0.2">
      <c r="A137" s="1"/>
      <c r="B137" s="3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x14ac:dyDescent="0.2">
      <c r="A138" s="1"/>
      <c r="B138" s="3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x14ac:dyDescent="0.2">
      <c r="A139" s="1"/>
      <c r="B139" s="3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x14ac:dyDescent="0.2">
      <c r="A140" s="1"/>
      <c r="B140" s="3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x14ac:dyDescent="0.2">
      <c r="A141" s="1"/>
      <c r="B141" s="3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x14ac:dyDescent="0.2">
      <c r="A142" s="1"/>
      <c r="B142" s="3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x14ac:dyDescent="0.2">
      <c r="A143" s="1"/>
      <c r="B143" s="3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x14ac:dyDescent="0.2">
      <c r="A144" s="1"/>
      <c r="B144" s="3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x14ac:dyDescent="0.2">
      <c r="A145" s="1"/>
      <c r="B145" s="3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x14ac:dyDescent="0.2">
      <c r="A146" s="1"/>
      <c r="B146" s="3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x14ac:dyDescent="0.2">
      <c r="A147" s="1"/>
      <c r="B147" s="3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x14ac:dyDescent="0.2">
      <c r="A148" s="1"/>
      <c r="B148" s="3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x14ac:dyDescent="0.2">
      <c r="A149" s="1"/>
      <c r="B149" s="3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x14ac:dyDescent="0.2">
      <c r="A150" s="1"/>
      <c r="B150" s="3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x14ac:dyDescent="0.2">
      <c r="A151" s="1"/>
      <c r="B151" s="3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x14ac:dyDescent="0.2">
      <c r="A152" s="1"/>
      <c r="B152" s="3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x14ac:dyDescent="0.2">
      <c r="A153" s="1"/>
      <c r="B153" s="3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x14ac:dyDescent="0.2">
      <c r="A154" s="1"/>
      <c r="B154" s="3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x14ac:dyDescent="0.2">
      <c r="A155" s="1"/>
      <c r="B155" s="3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x14ac:dyDescent="0.2">
      <c r="A156" s="1"/>
      <c r="B156" s="3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x14ac:dyDescent="0.2">
      <c r="A157" s="1"/>
      <c r="B157" s="3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x14ac:dyDescent="0.2">
      <c r="A158" s="1"/>
      <c r="B158" s="3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x14ac:dyDescent="0.2">
      <c r="A159" s="1"/>
      <c r="B159" s="3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x14ac:dyDescent="0.2">
      <c r="A160" s="1"/>
      <c r="B160" s="3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x14ac:dyDescent="0.2">
      <c r="A161" s="1"/>
      <c r="B161" s="3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x14ac:dyDescent="0.2">
      <c r="A162" s="1"/>
      <c r="B162" s="3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x14ac:dyDescent="0.2">
      <c r="A163" s="1"/>
      <c r="B163" s="3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x14ac:dyDescent="0.2">
      <c r="A164" s="1"/>
      <c r="B164" s="3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x14ac:dyDescent="0.2">
      <c r="A165" s="1"/>
      <c r="B165" s="3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x14ac:dyDescent="0.2">
      <c r="A166" s="1"/>
      <c r="B166" s="3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x14ac:dyDescent="0.2">
      <c r="A167" s="1"/>
      <c r="B167" s="3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x14ac:dyDescent="0.2">
      <c r="A168" s="1"/>
      <c r="B168" s="3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x14ac:dyDescent="0.2">
      <c r="A169" s="1"/>
      <c r="B169" s="3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x14ac:dyDescent="0.2">
      <c r="A170" s="1"/>
      <c r="B170" s="3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x14ac:dyDescent="0.2">
      <c r="A171" s="1"/>
      <c r="B171" s="3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x14ac:dyDescent="0.2">
      <c r="A172" s="1"/>
      <c r="B172" s="3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x14ac:dyDescent="0.2">
      <c r="A173" s="1"/>
      <c r="B173" s="3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x14ac:dyDescent="0.2">
      <c r="A174" s="1"/>
      <c r="B174" s="3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x14ac:dyDescent="0.2">
      <c r="A175" s="1"/>
      <c r="B175" s="3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x14ac:dyDescent="0.2">
      <c r="A176" s="1"/>
      <c r="B176" s="3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x14ac:dyDescent="0.2">
      <c r="A177" s="1"/>
      <c r="B177" s="3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x14ac:dyDescent="0.2">
      <c r="A178" s="1"/>
      <c r="B178" s="3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x14ac:dyDescent="0.2">
      <c r="A179" s="1"/>
      <c r="B179" s="3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x14ac:dyDescent="0.2">
      <c r="A180" s="1"/>
      <c r="B180" s="3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x14ac:dyDescent="0.2">
      <c r="A181" s="1"/>
      <c r="B181" s="3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x14ac:dyDescent="0.2">
      <c r="A182" s="1"/>
      <c r="B182" s="3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x14ac:dyDescent="0.2">
      <c r="A183" s="1"/>
      <c r="B183" s="3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x14ac:dyDescent="0.2">
      <c r="A184" s="1"/>
      <c r="B184" s="3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x14ac:dyDescent="0.2">
      <c r="A185" s="1"/>
      <c r="B185" s="3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x14ac:dyDescent="0.2">
      <c r="A186" s="1"/>
      <c r="B186" s="3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x14ac:dyDescent="0.2">
      <c r="A187" s="1"/>
      <c r="B187" s="3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x14ac:dyDescent="0.2">
      <c r="A188" s="1"/>
      <c r="B188" s="3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x14ac:dyDescent="0.2">
      <c r="A189" s="1"/>
      <c r="B189" s="3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x14ac:dyDescent="0.2">
      <c r="A190" s="1"/>
      <c r="B190" s="3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x14ac:dyDescent="0.2">
      <c r="A191" s="1"/>
      <c r="B191" s="3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x14ac:dyDescent="0.2">
      <c r="A192" s="1"/>
      <c r="B192" s="3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x14ac:dyDescent="0.2">
      <c r="A193" s="1"/>
      <c r="B193" s="3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x14ac:dyDescent="0.2">
      <c r="A194" s="1"/>
      <c r="B194" s="3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x14ac:dyDescent="0.2">
      <c r="A195" s="1"/>
      <c r="B195" s="3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x14ac:dyDescent="0.2">
      <c r="A196" s="1"/>
      <c r="B196" s="3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x14ac:dyDescent="0.2">
      <c r="A197" s="1"/>
      <c r="B197" s="3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x14ac:dyDescent="0.2">
      <c r="A198" s="1"/>
      <c r="B198" s="3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x14ac:dyDescent="0.2">
      <c r="A199" s="1"/>
      <c r="B199" s="3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x14ac:dyDescent="0.2">
      <c r="A200" s="1"/>
      <c r="B200" s="3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x14ac:dyDescent="0.2">
      <c r="A201" s="1"/>
      <c r="B201" s="3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x14ac:dyDescent="0.2">
      <c r="A202" s="1"/>
      <c r="B202" s="3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x14ac:dyDescent="0.2">
      <c r="A203" s="1"/>
      <c r="B203" s="3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x14ac:dyDescent="0.2">
      <c r="A204" s="1"/>
      <c r="B204" s="3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x14ac:dyDescent="0.2">
      <c r="A205" s="1"/>
      <c r="B205" s="3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x14ac:dyDescent="0.2">
      <c r="A206" s="1"/>
      <c r="B206" s="3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x14ac:dyDescent="0.2">
      <c r="A207" s="1"/>
      <c r="B207" s="3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x14ac:dyDescent="0.2">
      <c r="A208" s="1"/>
      <c r="B208" s="3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x14ac:dyDescent="0.2">
      <c r="A209" s="1"/>
      <c r="B209" s="3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x14ac:dyDescent="0.2">
      <c r="A210" s="1"/>
      <c r="B210" s="3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x14ac:dyDescent="0.2">
      <c r="A211" s="1"/>
      <c r="B211" s="3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x14ac:dyDescent="0.2">
      <c r="A212" s="1"/>
      <c r="B212" s="3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x14ac:dyDescent="0.2">
      <c r="A213" s="1"/>
      <c r="B213" s="3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x14ac:dyDescent="0.2">
      <c r="A214" s="1"/>
      <c r="B214" s="3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x14ac:dyDescent="0.2">
      <c r="A215" s="1"/>
      <c r="B215" s="3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x14ac:dyDescent="0.2">
      <c r="A216" s="1"/>
      <c r="B216" s="3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x14ac:dyDescent="0.2">
      <c r="A217" s="1"/>
      <c r="B217" s="3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x14ac:dyDescent="0.2">
      <c r="A218" s="1"/>
      <c r="B218" s="3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x14ac:dyDescent="0.2">
      <c r="A219" s="1"/>
      <c r="B219" s="3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x14ac:dyDescent="0.2">
      <c r="A220" s="1"/>
      <c r="B220" s="3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x14ac:dyDescent="0.2">
      <c r="A221" s="1"/>
      <c r="B221" s="3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x14ac:dyDescent="0.2">
      <c r="A222" s="1"/>
      <c r="B222" s="3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x14ac:dyDescent="0.2">
      <c r="A223" s="1"/>
      <c r="B223" s="3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x14ac:dyDescent="0.2">
      <c r="A224" s="1"/>
      <c r="B224" s="3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x14ac:dyDescent="0.2">
      <c r="A225" s="1"/>
      <c r="B225" s="3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x14ac:dyDescent="0.2">
      <c r="A226" s="1"/>
      <c r="B226" s="3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x14ac:dyDescent="0.2">
      <c r="A227" s="1"/>
      <c r="B227" s="3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x14ac:dyDescent="0.2">
      <c r="A228" s="1"/>
      <c r="B228" s="3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x14ac:dyDescent="0.2">
      <c r="A229" s="1"/>
      <c r="B229" s="3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x14ac:dyDescent="0.2">
      <c r="A230" s="1"/>
      <c r="B230" s="3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x14ac:dyDescent="0.2">
      <c r="A231" s="1"/>
      <c r="B231" s="3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x14ac:dyDescent="0.2">
      <c r="A232" s="1"/>
      <c r="B232" s="3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x14ac:dyDescent="0.2">
      <c r="A233" s="1"/>
      <c r="B233" s="3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x14ac:dyDescent="0.2">
      <c r="A234" s="1"/>
      <c r="B234" s="3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x14ac:dyDescent="0.2">
      <c r="A235" s="1"/>
      <c r="B235" s="3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x14ac:dyDescent="0.2">
      <c r="A236" s="1"/>
      <c r="B236" s="3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x14ac:dyDescent="0.2">
      <c r="A237" s="1"/>
      <c r="B237" s="3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x14ac:dyDescent="0.2">
      <c r="A238" s="1"/>
      <c r="B238" s="3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x14ac:dyDescent="0.2">
      <c r="A239" s="1"/>
      <c r="B239" s="3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x14ac:dyDescent="0.2">
      <c r="A240" s="1"/>
      <c r="B240" s="3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x14ac:dyDescent="0.2">
      <c r="A241" s="1"/>
      <c r="B241" s="3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x14ac:dyDescent="0.2">
      <c r="A242" s="1"/>
      <c r="B242" s="3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x14ac:dyDescent="0.2">
      <c r="A243" s="1"/>
      <c r="B243" s="3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x14ac:dyDescent="0.2">
      <c r="A244" s="1"/>
      <c r="B244" s="3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x14ac:dyDescent="0.2">
      <c r="A245" s="1"/>
      <c r="B245" s="3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x14ac:dyDescent="0.2">
      <c r="A246" s="1"/>
      <c r="B246" s="3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x14ac:dyDescent="0.2">
      <c r="A247" s="1"/>
      <c r="B247" s="3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x14ac:dyDescent="0.2">
      <c r="A248" s="1"/>
      <c r="B248" s="3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x14ac:dyDescent="0.2">
      <c r="A249" s="1"/>
      <c r="B249" s="3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x14ac:dyDescent="0.2">
      <c r="A250" s="1"/>
      <c r="B250" s="3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x14ac:dyDescent="0.2">
      <c r="A251" s="1"/>
      <c r="B251" s="3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x14ac:dyDescent="0.2">
      <c r="A252" s="1"/>
      <c r="B252" s="3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x14ac:dyDescent="0.2">
      <c r="A253" s="1"/>
      <c r="B253" s="3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x14ac:dyDescent="0.2">
      <c r="A254" s="1"/>
      <c r="B254" s="3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x14ac:dyDescent="0.2">
      <c r="A255" s="1"/>
      <c r="B255" s="3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x14ac:dyDescent="0.2">
      <c r="A256" s="1"/>
      <c r="B256" s="3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x14ac:dyDescent="0.2">
      <c r="A257" s="1"/>
      <c r="B257" s="3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x14ac:dyDescent="0.2">
      <c r="A258" s="1"/>
      <c r="B258" s="3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x14ac:dyDescent="0.2">
      <c r="A259" s="1"/>
      <c r="B259" s="3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x14ac:dyDescent="0.2">
      <c r="A260" s="1"/>
      <c r="B260" s="3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x14ac:dyDescent="0.2">
      <c r="A261" s="1"/>
      <c r="B261" s="3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x14ac:dyDescent="0.2">
      <c r="A262" s="1"/>
      <c r="B262" s="3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x14ac:dyDescent="0.2">
      <c r="A263" s="1"/>
      <c r="B263" s="3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x14ac:dyDescent="0.2">
      <c r="A264" s="1"/>
      <c r="B264" s="3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x14ac:dyDescent="0.2">
      <c r="A265" s="1"/>
      <c r="B265" s="3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x14ac:dyDescent="0.2">
      <c r="A266" s="1"/>
      <c r="B266" s="3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x14ac:dyDescent="0.2">
      <c r="A267" s="1"/>
      <c r="B267" s="3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x14ac:dyDescent="0.2">
      <c r="A268" s="1"/>
      <c r="B268" s="3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x14ac:dyDescent="0.2">
      <c r="A269" s="1"/>
      <c r="B269" s="3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x14ac:dyDescent="0.2">
      <c r="A270" s="1"/>
      <c r="B270" s="3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x14ac:dyDescent="0.2">
      <c r="A271" s="1"/>
      <c r="B271" s="3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x14ac:dyDescent="0.2">
      <c r="A272" s="1"/>
      <c r="B272" s="3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x14ac:dyDescent="0.2">
      <c r="A273" s="1"/>
      <c r="B273" s="3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x14ac:dyDescent="0.2">
      <c r="A274" s="1"/>
      <c r="B274" s="3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x14ac:dyDescent="0.2">
      <c r="A275" s="1"/>
      <c r="B275" s="3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x14ac:dyDescent="0.2">
      <c r="A276" s="1"/>
      <c r="B276" s="3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x14ac:dyDescent="0.2">
      <c r="A277" s="1"/>
      <c r="B277" s="3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x14ac:dyDescent="0.2">
      <c r="A278" s="1"/>
      <c r="B278" s="3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x14ac:dyDescent="0.2">
      <c r="A279" s="1"/>
      <c r="B279" s="3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x14ac:dyDescent="0.2">
      <c r="A280" s="1"/>
      <c r="B280" s="3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x14ac:dyDescent="0.2">
      <c r="A281" s="1"/>
      <c r="B281" s="3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x14ac:dyDescent="0.2">
      <c r="A282" s="1"/>
      <c r="B282" s="3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x14ac:dyDescent="0.2">
      <c r="A283" s="1"/>
      <c r="B283" s="3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x14ac:dyDescent="0.2">
      <c r="A284" s="1"/>
      <c r="B284" s="3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x14ac:dyDescent="0.2">
      <c r="A285" s="1"/>
      <c r="B285" s="3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x14ac:dyDescent="0.2">
      <c r="A286" s="1"/>
      <c r="B286" s="3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x14ac:dyDescent="0.2">
      <c r="A287" s="1"/>
      <c r="B287" s="3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x14ac:dyDescent="0.2">
      <c r="A288" s="1"/>
      <c r="B288" s="3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x14ac:dyDescent="0.2">
      <c r="A289" s="1"/>
      <c r="B289" s="3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x14ac:dyDescent="0.2">
      <c r="A290" s="1"/>
      <c r="B290" s="3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x14ac:dyDescent="0.2">
      <c r="A291" s="1"/>
      <c r="B291" s="3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x14ac:dyDescent="0.2">
      <c r="A292" s="1"/>
      <c r="B292" s="3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x14ac:dyDescent="0.2">
      <c r="A293" s="1"/>
      <c r="B293" s="3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x14ac:dyDescent="0.2">
      <c r="A294" s="1"/>
      <c r="B294" s="3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x14ac:dyDescent="0.2">
      <c r="A295" s="1"/>
      <c r="B295" s="3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x14ac:dyDescent="0.2">
      <c r="A296" s="1"/>
      <c r="B296" s="3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x14ac:dyDescent="0.2">
      <c r="A297" s="1"/>
      <c r="B297" s="3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x14ac:dyDescent="0.2">
      <c r="A298" s="1"/>
      <c r="B298" s="3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x14ac:dyDescent="0.2">
      <c r="A299" s="1"/>
      <c r="B299" s="3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x14ac:dyDescent="0.2">
      <c r="A300" s="1"/>
      <c r="B300" s="3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x14ac:dyDescent="0.2">
      <c r="A301" s="1"/>
      <c r="B301" s="3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x14ac:dyDescent="0.2">
      <c r="A302" s="1"/>
      <c r="B302" s="3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x14ac:dyDescent="0.2">
      <c r="A303" s="1"/>
      <c r="B303" s="3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x14ac:dyDescent="0.2">
      <c r="A304" s="1"/>
      <c r="B304" s="3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x14ac:dyDescent="0.2">
      <c r="A305" s="1"/>
      <c r="B305" s="3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x14ac:dyDescent="0.2">
      <c r="A306" s="1"/>
      <c r="B306" s="3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x14ac:dyDescent="0.2">
      <c r="A307" s="1"/>
      <c r="B307" s="3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x14ac:dyDescent="0.2">
      <c r="A308" s="1"/>
      <c r="B308" s="3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x14ac:dyDescent="0.2">
      <c r="A309" s="1"/>
      <c r="B309" s="3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x14ac:dyDescent="0.2">
      <c r="A310" s="1"/>
      <c r="B310" s="3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x14ac:dyDescent="0.2">
      <c r="A311" s="1"/>
      <c r="B311" s="3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x14ac:dyDescent="0.2">
      <c r="A312" s="1"/>
      <c r="B312" s="3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x14ac:dyDescent="0.2">
      <c r="A313" s="1"/>
      <c r="B313" s="3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x14ac:dyDescent="0.2">
      <c r="A314" s="1"/>
      <c r="B314" s="3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x14ac:dyDescent="0.2">
      <c r="A315" s="1"/>
      <c r="B315" s="3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x14ac:dyDescent="0.2">
      <c r="A316" s="1"/>
      <c r="B316" s="3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x14ac:dyDescent="0.2">
      <c r="A317" s="1"/>
      <c r="B317" s="3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x14ac:dyDescent="0.2">
      <c r="A318" s="1"/>
      <c r="B318" s="3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x14ac:dyDescent="0.2">
      <c r="A319" s="1"/>
      <c r="B319" s="3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x14ac:dyDescent="0.2">
      <c r="A320" s="1"/>
      <c r="B320" s="3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x14ac:dyDescent="0.2">
      <c r="A321" s="1"/>
      <c r="B321" s="3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x14ac:dyDescent="0.2">
      <c r="A322" s="1"/>
      <c r="B322" s="3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x14ac:dyDescent="0.2">
      <c r="A323" s="1"/>
      <c r="B323" s="3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x14ac:dyDescent="0.2">
      <c r="A324" s="1"/>
      <c r="B324" s="3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x14ac:dyDescent="0.2">
      <c r="A325" s="1"/>
      <c r="B325" s="3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x14ac:dyDescent="0.2">
      <c r="A326" s="1"/>
      <c r="B326" s="3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x14ac:dyDescent="0.2">
      <c r="A327" s="1"/>
      <c r="B327" s="3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x14ac:dyDescent="0.2">
      <c r="A328" s="1"/>
      <c r="B328" s="3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x14ac:dyDescent="0.2">
      <c r="A329" s="1"/>
      <c r="B329" s="3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x14ac:dyDescent="0.2">
      <c r="A330" s="1"/>
      <c r="B330" s="3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x14ac:dyDescent="0.2">
      <c r="A331" s="1"/>
      <c r="B331" s="3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x14ac:dyDescent="0.2">
      <c r="A332" s="1"/>
      <c r="B332" s="3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x14ac:dyDescent="0.2">
      <c r="A333" s="1"/>
      <c r="B333" s="3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x14ac:dyDescent="0.2">
      <c r="A334" s="1"/>
      <c r="B334" s="3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x14ac:dyDescent="0.2">
      <c r="A335" s="1"/>
      <c r="B335" s="3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x14ac:dyDescent="0.2">
      <c r="A336" s="1"/>
      <c r="B336" s="3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x14ac:dyDescent="0.2">
      <c r="A337" s="1"/>
      <c r="B337" s="3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x14ac:dyDescent="0.2">
      <c r="A338" s="1"/>
      <c r="B338" s="3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x14ac:dyDescent="0.2">
      <c r="A339" s="1"/>
      <c r="B339" s="3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x14ac:dyDescent="0.2">
      <c r="A340" s="1"/>
      <c r="B340" s="3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x14ac:dyDescent="0.2">
      <c r="A341" s="1"/>
      <c r="B341" s="3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x14ac:dyDescent="0.2">
      <c r="A342" s="1"/>
      <c r="B342" s="3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x14ac:dyDescent="0.2">
      <c r="A343" s="1"/>
      <c r="B343" s="3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x14ac:dyDescent="0.2">
      <c r="A344" s="1"/>
      <c r="B344" s="3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x14ac:dyDescent="0.2">
      <c r="A345" s="1"/>
      <c r="B345" s="3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x14ac:dyDescent="0.2">
      <c r="A346" s="1"/>
      <c r="B346" s="3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x14ac:dyDescent="0.2">
      <c r="A347" s="1"/>
      <c r="B347" s="3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x14ac:dyDescent="0.2">
      <c r="A348" s="1"/>
      <c r="B348" s="3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x14ac:dyDescent="0.2">
      <c r="A349" s="1"/>
      <c r="B349" s="3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x14ac:dyDescent="0.2">
      <c r="A350" s="1"/>
      <c r="B350" s="3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x14ac:dyDescent="0.2">
      <c r="A351" s="1"/>
      <c r="B351" s="3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x14ac:dyDescent="0.2">
      <c r="A352" s="1"/>
      <c r="B352" s="3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x14ac:dyDescent="0.2">
      <c r="A353" s="1"/>
      <c r="B353" s="3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x14ac:dyDescent="0.2">
      <c r="A354" s="1"/>
      <c r="B354" s="3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x14ac:dyDescent="0.2">
      <c r="A355" s="1"/>
      <c r="B355" s="3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x14ac:dyDescent="0.2">
      <c r="A356" s="1"/>
      <c r="B356" s="3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x14ac:dyDescent="0.2">
      <c r="A357" s="1"/>
      <c r="B357" s="3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x14ac:dyDescent="0.2">
      <c r="A358" s="1"/>
      <c r="B358" s="3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x14ac:dyDescent="0.2">
      <c r="A359" s="1"/>
      <c r="B359" s="3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x14ac:dyDescent="0.2">
      <c r="A360" s="1"/>
      <c r="B360" s="3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x14ac:dyDescent="0.2">
      <c r="A361" s="1"/>
      <c r="B361" s="3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x14ac:dyDescent="0.2">
      <c r="A362" s="1"/>
      <c r="B362" s="3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2">
      <c r="A363" s="1"/>
      <c r="B363" s="3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2">
      <c r="A364" s="1"/>
      <c r="B364" s="3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2">
      <c r="A365" s="1"/>
      <c r="B365" s="3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2">
      <c r="A366" s="1"/>
      <c r="B366" s="3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2">
      <c r="A367" s="1"/>
      <c r="B367" s="3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2">
      <c r="A368" s="1"/>
      <c r="B368" s="3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x14ac:dyDescent="0.2">
      <c r="A369" s="1"/>
      <c r="B369" s="3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x14ac:dyDescent="0.2">
      <c r="A370" s="1"/>
      <c r="B370" s="3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x14ac:dyDescent="0.2">
      <c r="A371" s="1"/>
      <c r="B371" s="3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x14ac:dyDescent="0.2">
      <c r="A372" s="1"/>
      <c r="B372" s="3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x14ac:dyDescent="0.2">
      <c r="A373" s="1"/>
      <c r="B373" s="3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x14ac:dyDescent="0.2">
      <c r="A374" s="1"/>
      <c r="B374" s="3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x14ac:dyDescent="0.2">
      <c r="A375" s="1"/>
      <c r="B375" s="3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x14ac:dyDescent="0.2">
      <c r="A376" s="1"/>
      <c r="B376" s="3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x14ac:dyDescent="0.2">
      <c r="A377" s="1"/>
      <c r="B377" s="3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x14ac:dyDescent="0.2">
      <c r="A378" s="1"/>
      <c r="B378" s="3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x14ac:dyDescent="0.2">
      <c r="A379" s="1"/>
      <c r="B379" s="3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x14ac:dyDescent="0.2">
      <c r="A380" s="1"/>
      <c r="B380" s="3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x14ac:dyDescent="0.2">
      <c r="A381" s="1"/>
      <c r="B381" s="3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x14ac:dyDescent="0.2">
      <c r="A382" s="1"/>
      <c r="B382" s="3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x14ac:dyDescent="0.2">
      <c r="A383" s="1"/>
      <c r="B383" s="3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x14ac:dyDescent="0.2">
      <c r="A384" s="1"/>
      <c r="B384" s="3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x14ac:dyDescent="0.2">
      <c r="A385" s="1"/>
      <c r="B385" s="3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x14ac:dyDescent="0.2">
      <c r="A386" s="1"/>
      <c r="B386" s="3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">
      <c r="A387" s="1"/>
      <c r="B387" s="3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">
      <c r="A388" s="1"/>
      <c r="B388" s="3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">
      <c r="A389" s="1"/>
      <c r="B389" s="3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">
      <c r="A390" s="1"/>
      <c r="B390" s="3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">
      <c r="A391" s="1"/>
      <c r="B391" s="3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">
      <c r="A392" s="1"/>
      <c r="B392" s="3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">
      <c r="A393" s="1"/>
      <c r="B393" s="3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">
      <c r="A394" s="1"/>
      <c r="B394" s="3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">
      <c r="A395" s="1"/>
      <c r="B395" s="3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">
      <c r="A396" s="1"/>
      <c r="B396" s="3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">
      <c r="A397" s="1"/>
      <c r="B397" s="3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">
      <c r="A398" s="1"/>
      <c r="B398" s="3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">
      <c r="A399" s="1"/>
      <c r="B399" s="3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">
      <c r="A400" s="1"/>
      <c r="B400" s="3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x14ac:dyDescent="0.2">
      <c r="A401" s="1"/>
      <c r="B401" s="3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x14ac:dyDescent="0.2">
      <c r="A402" s="1"/>
      <c r="B402" s="3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x14ac:dyDescent="0.2">
      <c r="A403" s="1"/>
      <c r="B403" s="3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x14ac:dyDescent="0.2">
      <c r="A404" s="1"/>
      <c r="B404" s="3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x14ac:dyDescent="0.2">
      <c r="A405" s="1"/>
      <c r="B405" s="3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x14ac:dyDescent="0.2">
      <c r="A406" s="1"/>
      <c r="B406" s="3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x14ac:dyDescent="0.2">
      <c r="A407" s="1"/>
      <c r="B407" s="3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x14ac:dyDescent="0.2">
      <c r="A408" s="1"/>
      <c r="B408" s="3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x14ac:dyDescent="0.2">
      <c r="A409" s="1"/>
      <c r="B409" s="3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x14ac:dyDescent="0.2">
      <c r="A410" s="1"/>
      <c r="B410" s="3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x14ac:dyDescent="0.2">
      <c r="A411" s="1"/>
      <c r="B411" s="3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x14ac:dyDescent="0.2">
      <c r="A412" s="1"/>
      <c r="B412" s="3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x14ac:dyDescent="0.2">
      <c r="A413" s="1"/>
      <c r="B413" s="3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x14ac:dyDescent="0.2">
      <c r="A414" s="1"/>
      <c r="B414" s="3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x14ac:dyDescent="0.2">
      <c r="A415" s="1"/>
      <c r="B415" s="3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x14ac:dyDescent="0.2">
      <c r="A416" s="1"/>
      <c r="B416" s="3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x14ac:dyDescent="0.2">
      <c r="A417" s="1"/>
      <c r="B417" s="3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x14ac:dyDescent="0.2">
      <c r="A418" s="1"/>
      <c r="B418" s="3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x14ac:dyDescent="0.2">
      <c r="A419" s="1"/>
      <c r="B419" s="3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x14ac:dyDescent="0.2">
      <c r="A420" s="1"/>
      <c r="B420" s="3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x14ac:dyDescent="0.2">
      <c r="A421" s="1"/>
      <c r="B421" s="3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x14ac:dyDescent="0.2">
      <c r="A422" s="1"/>
      <c r="B422" s="3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x14ac:dyDescent="0.2">
      <c r="A423" s="1"/>
      <c r="B423" s="3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x14ac:dyDescent="0.2">
      <c r="A424" s="1"/>
      <c r="B424" s="3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x14ac:dyDescent="0.2">
      <c r="A425" s="1"/>
      <c r="B425" s="3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x14ac:dyDescent="0.2">
      <c r="A426" s="1"/>
      <c r="B426" s="3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x14ac:dyDescent="0.2">
      <c r="A427" s="1"/>
      <c r="B427" s="3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x14ac:dyDescent="0.2">
      <c r="A428" s="1"/>
      <c r="B428" s="3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x14ac:dyDescent="0.2">
      <c r="A429" s="1"/>
      <c r="B429" s="3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x14ac:dyDescent="0.2">
      <c r="A430" s="1"/>
      <c r="B430" s="3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x14ac:dyDescent="0.2">
      <c r="A431" s="1"/>
      <c r="B431" s="3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x14ac:dyDescent="0.2">
      <c r="A432" s="1"/>
      <c r="B432" s="3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x14ac:dyDescent="0.2">
      <c r="A433" s="1"/>
      <c r="B433" s="3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x14ac:dyDescent="0.2">
      <c r="A434" s="1"/>
      <c r="B434" s="3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x14ac:dyDescent="0.2">
      <c r="A435" s="1"/>
      <c r="B435" s="3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x14ac:dyDescent="0.2">
      <c r="A436" s="1"/>
      <c r="B436" s="3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x14ac:dyDescent="0.2">
      <c r="A437" s="1"/>
      <c r="B437" s="3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x14ac:dyDescent="0.2">
      <c r="A438" s="1"/>
      <c r="B438" s="3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x14ac:dyDescent="0.2">
      <c r="A439" s="1"/>
      <c r="B439" s="3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x14ac:dyDescent="0.2">
      <c r="A440" s="1"/>
      <c r="B440" s="3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x14ac:dyDescent="0.2">
      <c r="A441" s="1"/>
      <c r="B441" s="3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x14ac:dyDescent="0.2">
      <c r="A442" s="1"/>
      <c r="B442" s="3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x14ac:dyDescent="0.2">
      <c r="A443" s="1"/>
      <c r="B443" s="3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x14ac:dyDescent="0.2">
      <c r="A444" s="1"/>
      <c r="B444" s="3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x14ac:dyDescent="0.2">
      <c r="A445" s="1"/>
      <c r="B445" s="3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x14ac:dyDescent="0.2">
      <c r="A446" s="1"/>
      <c r="B446" s="3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x14ac:dyDescent="0.2">
      <c r="A447" s="1"/>
      <c r="B447" s="3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x14ac:dyDescent="0.2">
      <c r="A448" s="1"/>
      <c r="B448" s="3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x14ac:dyDescent="0.2">
      <c r="A449" s="1"/>
      <c r="B449" s="3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x14ac:dyDescent="0.2">
      <c r="A450" s="1"/>
      <c r="B450" s="3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x14ac:dyDescent="0.2">
      <c r="A451" s="1"/>
      <c r="B451" s="3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x14ac:dyDescent="0.2">
      <c r="A452" s="1"/>
      <c r="B452" s="3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x14ac:dyDescent="0.2">
      <c r="A453" s="1"/>
      <c r="B453" s="3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x14ac:dyDescent="0.2">
      <c r="A454" s="1"/>
      <c r="B454" s="3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x14ac:dyDescent="0.2">
      <c r="A455" s="1"/>
      <c r="B455" s="3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x14ac:dyDescent="0.2">
      <c r="A456" s="1"/>
      <c r="B456" s="3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x14ac:dyDescent="0.2">
      <c r="A457" s="1"/>
      <c r="B457" s="3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x14ac:dyDescent="0.2">
      <c r="A458" s="1"/>
      <c r="B458" s="3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x14ac:dyDescent="0.2">
      <c r="A459" s="1"/>
      <c r="B459" s="3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x14ac:dyDescent="0.2">
      <c r="A460" s="1"/>
      <c r="B460" s="3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x14ac:dyDescent="0.2">
      <c r="A461" s="1"/>
      <c r="B461" s="3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x14ac:dyDescent="0.2">
      <c r="A462" s="1"/>
      <c r="B462" s="3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x14ac:dyDescent="0.2">
      <c r="A463" s="1"/>
      <c r="B463" s="3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x14ac:dyDescent="0.2">
      <c r="A464" s="1"/>
      <c r="B464" s="3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x14ac:dyDescent="0.2">
      <c r="A465" s="1"/>
      <c r="B465" s="3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x14ac:dyDescent="0.2">
      <c r="A466" s="1"/>
      <c r="B466" s="3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x14ac:dyDescent="0.2">
      <c r="A467" s="1"/>
      <c r="B467" s="3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x14ac:dyDescent="0.2">
      <c r="A468" s="1"/>
      <c r="B468" s="3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x14ac:dyDescent="0.2">
      <c r="A469" s="1"/>
      <c r="B469" s="3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x14ac:dyDescent="0.2">
      <c r="A470" s="1"/>
      <c r="B470" s="3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x14ac:dyDescent="0.2">
      <c r="A471" s="1"/>
      <c r="B471" s="3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x14ac:dyDescent="0.2">
      <c r="A472" s="1"/>
      <c r="B472" s="3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x14ac:dyDescent="0.2">
      <c r="A473" s="1"/>
      <c r="B473" s="3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x14ac:dyDescent="0.2">
      <c r="A474" s="1"/>
      <c r="B474" s="3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x14ac:dyDescent="0.2">
      <c r="A475" s="1"/>
      <c r="B475" s="3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x14ac:dyDescent="0.2">
      <c r="A476" s="1"/>
      <c r="B476" s="3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x14ac:dyDescent="0.2">
      <c r="A477" s="1"/>
      <c r="B477" s="3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x14ac:dyDescent="0.2">
      <c r="A478" s="1"/>
      <c r="B478" s="3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x14ac:dyDescent="0.2">
      <c r="A479" s="1"/>
      <c r="B479" s="3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x14ac:dyDescent="0.2">
      <c r="A480" s="1"/>
      <c r="B480" s="3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x14ac:dyDescent="0.2">
      <c r="A481" s="1"/>
      <c r="B481" s="3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x14ac:dyDescent="0.2">
      <c r="A482" s="1"/>
      <c r="B482" s="3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x14ac:dyDescent="0.2">
      <c r="A483" s="1"/>
      <c r="B483" s="3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x14ac:dyDescent="0.2">
      <c r="A484" s="1"/>
      <c r="B484" s="3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x14ac:dyDescent="0.2">
      <c r="A485" s="1"/>
      <c r="B485" s="3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x14ac:dyDescent="0.2">
      <c r="A486" s="1"/>
      <c r="B486" s="3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x14ac:dyDescent="0.2">
      <c r="A487" s="1"/>
      <c r="B487" s="3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x14ac:dyDescent="0.2">
      <c r="A488" s="1"/>
      <c r="B488" s="3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x14ac:dyDescent="0.2">
      <c r="A489" s="1"/>
      <c r="B489" s="3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x14ac:dyDescent="0.2">
      <c r="A490" s="1"/>
      <c r="B490" s="3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x14ac:dyDescent="0.2">
      <c r="A491" s="1"/>
      <c r="B491" s="3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x14ac:dyDescent="0.2">
      <c r="A492" s="1"/>
      <c r="B492" s="3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x14ac:dyDescent="0.2">
      <c r="A493" s="1"/>
      <c r="B493" s="3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x14ac:dyDescent="0.2">
      <c r="A494" s="1"/>
      <c r="B494" s="3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x14ac:dyDescent="0.2">
      <c r="A495" s="1"/>
      <c r="B495" s="3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x14ac:dyDescent="0.2">
      <c r="A496" s="1"/>
      <c r="B496" s="3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x14ac:dyDescent="0.2">
      <c r="A497" s="1"/>
      <c r="B497" s="3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x14ac:dyDescent="0.2">
      <c r="A498" s="1"/>
      <c r="B498" s="3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x14ac:dyDescent="0.2">
      <c r="A499" s="1"/>
      <c r="B499" s="3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x14ac:dyDescent="0.2">
      <c r="A500" s="1"/>
      <c r="B500" s="3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x14ac:dyDescent="0.2">
      <c r="A501" s="1"/>
      <c r="B501" s="3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x14ac:dyDescent="0.2">
      <c r="A502" s="1"/>
      <c r="B502" s="3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x14ac:dyDescent="0.2">
      <c r="A503" s="1"/>
      <c r="B503" s="3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x14ac:dyDescent="0.2">
      <c r="A504" s="1"/>
      <c r="B504" s="3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x14ac:dyDescent="0.2">
      <c r="A505" s="1"/>
      <c r="B505" s="3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x14ac:dyDescent="0.2">
      <c r="A506" s="1"/>
      <c r="B506" s="3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x14ac:dyDescent="0.2">
      <c r="A507" s="1"/>
      <c r="B507" s="3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x14ac:dyDescent="0.2">
      <c r="A508" s="1"/>
      <c r="B508" s="3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x14ac:dyDescent="0.2">
      <c r="A509" s="1"/>
      <c r="B509" s="3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x14ac:dyDescent="0.2">
      <c r="A510" s="1"/>
      <c r="B510" s="3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x14ac:dyDescent="0.2">
      <c r="A511" s="1"/>
      <c r="B511" s="3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x14ac:dyDescent="0.2">
      <c r="A512" s="1"/>
      <c r="B512" s="3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x14ac:dyDescent="0.2">
      <c r="A513" s="1"/>
      <c r="B513" s="3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x14ac:dyDescent="0.2">
      <c r="A514" s="1"/>
      <c r="B514" s="3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x14ac:dyDescent="0.2">
      <c r="A515" s="1"/>
      <c r="B515" s="3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x14ac:dyDescent="0.2">
      <c r="A516" s="1"/>
      <c r="B516" s="3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x14ac:dyDescent="0.2">
      <c r="A517" s="1"/>
      <c r="B517" s="3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x14ac:dyDescent="0.2">
      <c r="A518" s="1"/>
      <c r="B518" s="3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x14ac:dyDescent="0.2">
      <c r="A519" s="1"/>
      <c r="B519" s="3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x14ac:dyDescent="0.2">
      <c r="A520" s="1"/>
      <c r="B520" s="3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x14ac:dyDescent="0.2">
      <c r="A521" s="1"/>
      <c r="B521" s="3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x14ac:dyDescent="0.2">
      <c r="A522" s="1"/>
      <c r="B522" s="3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x14ac:dyDescent="0.2">
      <c r="A523" s="1"/>
      <c r="B523" s="3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x14ac:dyDescent="0.2">
      <c r="A524" s="1"/>
      <c r="B524" s="3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x14ac:dyDescent="0.2">
      <c r="A525" s="1"/>
      <c r="B525" s="3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x14ac:dyDescent="0.2">
      <c r="A526" s="1"/>
      <c r="B526" s="3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x14ac:dyDescent="0.2">
      <c r="A527" s="1"/>
      <c r="B527" s="3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x14ac:dyDescent="0.2">
      <c r="A528" s="1"/>
      <c r="B528" s="3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x14ac:dyDescent="0.2">
      <c r="A529" s="1"/>
      <c r="B529" s="3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x14ac:dyDescent="0.2">
      <c r="A530" s="1"/>
      <c r="B530" s="3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x14ac:dyDescent="0.2">
      <c r="A531" s="1"/>
      <c r="B531" s="3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x14ac:dyDescent="0.2">
      <c r="A532" s="1"/>
      <c r="B532" s="3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x14ac:dyDescent="0.2">
      <c r="A533" s="1"/>
      <c r="B533" s="3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x14ac:dyDescent="0.2">
      <c r="A534" s="1"/>
      <c r="B534" s="3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x14ac:dyDescent="0.2">
      <c r="A535" s="1"/>
      <c r="B535" s="3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x14ac:dyDescent="0.2">
      <c r="A536" s="1"/>
      <c r="B536" s="3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x14ac:dyDescent="0.2">
      <c r="A537" s="1"/>
      <c r="B537" s="3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x14ac:dyDescent="0.2">
      <c r="A538" s="1"/>
      <c r="B538" s="3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x14ac:dyDescent="0.2">
      <c r="A539" s="1"/>
      <c r="B539" s="3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x14ac:dyDescent="0.2">
      <c r="A540" s="1"/>
      <c r="B540" s="3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x14ac:dyDescent="0.2">
      <c r="A541" s="1"/>
      <c r="B541" s="3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x14ac:dyDescent="0.2">
      <c r="A542" s="1"/>
      <c r="B542" s="3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x14ac:dyDescent="0.2">
      <c r="A543" s="1"/>
      <c r="B543" s="3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x14ac:dyDescent="0.2">
      <c r="A544" s="1"/>
      <c r="B544" s="3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x14ac:dyDescent="0.2">
      <c r="A545" s="1"/>
      <c r="B545" s="3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x14ac:dyDescent="0.2">
      <c r="A546" s="1"/>
      <c r="B546" s="3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x14ac:dyDescent="0.2">
      <c r="A547" s="1"/>
      <c r="B547" s="3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x14ac:dyDescent="0.2">
      <c r="A548" s="1"/>
      <c r="B548" s="3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x14ac:dyDescent="0.2">
      <c r="A549" s="1"/>
      <c r="B549" s="3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x14ac:dyDescent="0.2">
      <c r="A550" s="1"/>
      <c r="B550" s="3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x14ac:dyDescent="0.2">
      <c r="A551" s="1"/>
      <c r="B551" s="3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x14ac:dyDescent="0.2">
      <c r="A552" s="1"/>
      <c r="B552" s="3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x14ac:dyDescent="0.2">
      <c r="A553" s="1"/>
      <c r="B553" s="3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x14ac:dyDescent="0.2">
      <c r="A554" s="1"/>
      <c r="B554" s="3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x14ac:dyDescent="0.2">
      <c r="A555" s="1"/>
      <c r="B555" s="3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x14ac:dyDescent="0.2">
      <c r="A556" s="1"/>
      <c r="B556" s="3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x14ac:dyDescent="0.2">
      <c r="A557" s="1"/>
      <c r="B557" s="3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x14ac:dyDescent="0.2">
      <c r="A558" s="1"/>
      <c r="B558" s="3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x14ac:dyDescent="0.2">
      <c r="A559" s="1"/>
      <c r="B559" s="3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x14ac:dyDescent="0.2">
      <c r="A560" s="1"/>
      <c r="B560" s="3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x14ac:dyDescent="0.2">
      <c r="A561" s="1"/>
      <c r="B561" s="3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x14ac:dyDescent="0.2">
      <c r="A562" s="1"/>
      <c r="B562" s="3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x14ac:dyDescent="0.2">
      <c r="A563" s="1"/>
      <c r="B563" s="3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x14ac:dyDescent="0.2">
      <c r="A564" s="1"/>
      <c r="B564" s="3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x14ac:dyDescent="0.2">
      <c r="A565" s="1"/>
      <c r="B565" s="3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x14ac:dyDescent="0.2">
      <c r="A566" s="1"/>
      <c r="B566" s="3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x14ac:dyDescent="0.2">
      <c r="A567" s="1"/>
      <c r="B567" s="3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x14ac:dyDescent="0.2">
      <c r="A568" s="1"/>
      <c r="B568" s="3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x14ac:dyDescent="0.2">
      <c r="A569" s="1"/>
      <c r="B569" s="3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x14ac:dyDescent="0.2">
      <c r="A570" s="1"/>
      <c r="B570" s="3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x14ac:dyDescent="0.2">
      <c r="A571" s="1"/>
      <c r="B571" s="3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x14ac:dyDescent="0.2">
      <c r="A572" s="1"/>
      <c r="B572" s="3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x14ac:dyDescent="0.2">
      <c r="A573" s="1"/>
      <c r="B573" s="3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x14ac:dyDescent="0.2">
      <c r="A574" s="1"/>
      <c r="B574" s="3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x14ac:dyDescent="0.2">
      <c r="A575" s="1"/>
      <c r="B575" s="3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x14ac:dyDescent="0.2">
      <c r="A576" s="1"/>
      <c r="B576" s="3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x14ac:dyDescent="0.2">
      <c r="A577" s="1"/>
      <c r="B577" s="3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x14ac:dyDescent="0.2">
      <c r="A578" s="1"/>
      <c r="B578" s="3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x14ac:dyDescent="0.2">
      <c r="A579" s="1"/>
      <c r="B579" s="3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x14ac:dyDescent="0.2">
      <c r="A580" s="1"/>
      <c r="B580" s="3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x14ac:dyDescent="0.2">
      <c r="A581" s="1"/>
      <c r="B581" s="3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x14ac:dyDescent="0.2">
      <c r="A582" s="1"/>
      <c r="B582" s="3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x14ac:dyDescent="0.2">
      <c r="A583" s="1"/>
      <c r="B583" s="3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x14ac:dyDescent="0.2">
      <c r="A584" s="1"/>
      <c r="B584" s="3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x14ac:dyDescent="0.2">
      <c r="A585" s="1"/>
      <c r="B585" s="3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x14ac:dyDescent="0.2">
      <c r="A586" s="1"/>
      <c r="B586" s="3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x14ac:dyDescent="0.2">
      <c r="A587" s="1"/>
      <c r="B587" s="3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x14ac:dyDescent="0.2">
      <c r="A588" s="1"/>
      <c r="B588" s="3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x14ac:dyDescent="0.2">
      <c r="A589" s="1"/>
      <c r="B589" s="3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x14ac:dyDescent="0.2">
      <c r="A590" s="1"/>
      <c r="B590" s="3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x14ac:dyDescent="0.2">
      <c r="A591" s="1"/>
      <c r="B591" s="3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x14ac:dyDescent="0.2">
      <c r="A592" s="1"/>
      <c r="B592" s="3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x14ac:dyDescent="0.2">
      <c r="A593" s="1"/>
      <c r="B593" s="3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x14ac:dyDescent="0.2">
      <c r="A594" s="1"/>
      <c r="B594" s="3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x14ac:dyDescent="0.2">
      <c r="A595" s="1"/>
      <c r="B595" s="3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x14ac:dyDescent="0.2">
      <c r="A596" s="1"/>
      <c r="B596" s="3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x14ac:dyDescent="0.2">
      <c r="A597" s="1"/>
      <c r="B597" s="3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x14ac:dyDescent="0.2">
      <c r="A598" s="1"/>
      <c r="B598" s="3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x14ac:dyDescent="0.2">
      <c r="A599" s="1"/>
      <c r="B599" s="3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x14ac:dyDescent="0.2">
      <c r="A600" s="1"/>
      <c r="B600" s="3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x14ac:dyDescent="0.2">
      <c r="A601" s="1"/>
      <c r="B601" s="3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x14ac:dyDescent="0.2">
      <c r="A602" s="1"/>
      <c r="B602" s="3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x14ac:dyDescent="0.2">
      <c r="A603" s="1"/>
      <c r="B603" s="3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x14ac:dyDescent="0.2">
      <c r="A604" s="1"/>
      <c r="B604" s="3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x14ac:dyDescent="0.2">
      <c r="A605" s="1"/>
      <c r="B605" s="3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x14ac:dyDescent="0.2">
      <c r="A606" s="1"/>
      <c r="B606" s="3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x14ac:dyDescent="0.2">
      <c r="A607" s="1"/>
      <c r="B607" s="3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x14ac:dyDescent="0.2">
      <c r="A608" s="1"/>
      <c r="B608" s="3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x14ac:dyDescent="0.2">
      <c r="A609" s="1"/>
      <c r="B609" s="3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x14ac:dyDescent="0.2">
      <c r="A610" s="1"/>
      <c r="B610" s="3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x14ac:dyDescent="0.2">
      <c r="A611" s="1"/>
      <c r="B611" s="3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x14ac:dyDescent="0.2">
      <c r="A612" s="1"/>
      <c r="B612" s="3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x14ac:dyDescent="0.2">
      <c r="A613" s="1"/>
      <c r="B613" s="3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x14ac:dyDescent="0.2">
      <c r="A614" s="1"/>
      <c r="B614" s="3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x14ac:dyDescent="0.2">
      <c r="A615" s="1"/>
      <c r="B615" s="3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x14ac:dyDescent="0.2">
      <c r="A616" s="1"/>
      <c r="B616" s="3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x14ac:dyDescent="0.2">
      <c r="A617" s="1"/>
      <c r="B617" s="3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x14ac:dyDescent="0.2">
      <c r="A618" s="1"/>
      <c r="B618" s="3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x14ac:dyDescent="0.2">
      <c r="A619" s="1"/>
      <c r="B619" s="3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x14ac:dyDescent="0.2">
      <c r="A620" s="1"/>
      <c r="B620" s="3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x14ac:dyDescent="0.2">
      <c r="A621" s="1"/>
      <c r="B621" s="3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x14ac:dyDescent="0.2">
      <c r="A622" s="1"/>
      <c r="B622" s="3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x14ac:dyDescent="0.2">
      <c r="A623" s="1"/>
      <c r="B623" s="3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x14ac:dyDescent="0.2">
      <c r="A624" s="1"/>
      <c r="B624" s="3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x14ac:dyDescent="0.2">
      <c r="A625" s="1"/>
      <c r="B625" s="3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x14ac:dyDescent="0.2">
      <c r="A626" s="1"/>
      <c r="B626" s="3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x14ac:dyDescent="0.2">
      <c r="A627" s="1"/>
      <c r="B627" s="3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x14ac:dyDescent="0.2">
      <c r="A628" s="1"/>
      <c r="B628" s="3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x14ac:dyDescent="0.2">
      <c r="A629" s="1"/>
      <c r="B629" s="3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x14ac:dyDescent="0.2">
      <c r="A630" s="1"/>
      <c r="B630" s="3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x14ac:dyDescent="0.2">
      <c r="A631" s="1"/>
      <c r="B631" s="3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x14ac:dyDescent="0.2">
      <c r="A632" s="1"/>
      <c r="B632" s="3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x14ac:dyDescent="0.2">
      <c r="A633" s="1"/>
      <c r="B633" s="3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x14ac:dyDescent="0.2">
      <c r="A634" s="1"/>
      <c r="B634" s="3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x14ac:dyDescent="0.2">
      <c r="A635" s="1"/>
      <c r="B635" s="3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x14ac:dyDescent="0.2">
      <c r="A636" s="1"/>
      <c r="B636" s="3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x14ac:dyDescent="0.2">
      <c r="A637" s="1"/>
      <c r="B637" s="3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x14ac:dyDescent="0.2">
      <c r="A638" s="1"/>
      <c r="B638" s="3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x14ac:dyDescent="0.2">
      <c r="A639" s="1"/>
      <c r="B639" s="3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x14ac:dyDescent="0.2">
      <c r="A640" s="1"/>
      <c r="B640" s="3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x14ac:dyDescent="0.2">
      <c r="A641" s="1"/>
      <c r="B641" s="3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x14ac:dyDescent="0.2">
      <c r="A642" s="1"/>
      <c r="B642" s="3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x14ac:dyDescent="0.2">
      <c r="A643" s="1"/>
      <c r="B643" s="3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x14ac:dyDescent="0.2">
      <c r="A644" s="1"/>
      <c r="B644" s="3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x14ac:dyDescent="0.2">
      <c r="A645" s="1"/>
      <c r="B645" s="3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x14ac:dyDescent="0.2">
      <c r="A646" s="1"/>
      <c r="B646" s="3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x14ac:dyDescent="0.2">
      <c r="A647" s="1"/>
      <c r="B647" s="3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x14ac:dyDescent="0.2">
      <c r="A648" s="1"/>
      <c r="B648" s="3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x14ac:dyDescent="0.2">
      <c r="A649" s="1"/>
      <c r="B649" s="3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x14ac:dyDescent="0.2">
      <c r="A650" s="1"/>
      <c r="B650" s="3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x14ac:dyDescent="0.2">
      <c r="A651" s="1"/>
      <c r="B651" s="3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x14ac:dyDescent="0.2">
      <c r="A652" s="1"/>
      <c r="B652" s="3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x14ac:dyDescent="0.2">
      <c r="A653" s="1"/>
      <c r="B653" s="3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x14ac:dyDescent="0.2">
      <c r="A654" s="1"/>
      <c r="B654" s="3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x14ac:dyDescent="0.2">
      <c r="A655" s="1"/>
      <c r="B655" s="3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x14ac:dyDescent="0.2">
      <c r="A656" s="1"/>
      <c r="B656" s="3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x14ac:dyDescent="0.2">
      <c r="A657" s="1"/>
      <c r="B657" s="3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x14ac:dyDescent="0.2">
      <c r="A658" s="1"/>
      <c r="B658" s="3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x14ac:dyDescent="0.2">
      <c r="A659" s="1"/>
      <c r="B659" s="3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x14ac:dyDescent="0.2">
      <c r="A660" s="1"/>
      <c r="B660" s="3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x14ac:dyDescent="0.2">
      <c r="A661" s="1"/>
      <c r="B661" s="3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x14ac:dyDescent="0.2">
      <c r="A662" s="1"/>
      <c r="B662" s="3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x14ac:dyDescent="0.2">
      <c r="A663" s="1"/>
      <c r="B663" s="3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x14ac:dyDescent="0.2">
      <c r="A664" s="1"/>
      <c r="B664" s="3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x14ac:dyDescent="0.2">
      <c r="A665" s="1"/>
      <c r="B665" s="3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x14ac:dyDescent="0.2">
      <c r="A666" s="1"/>
      <c r="B666" s="3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x14ac:dyDescent="0.2">
      <c r="A667" s="1"/>
      <c r="B667" s="3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x14ac:dyDescent="0.2">
      <c r="A668" s="1"/>
      <c r="B668" s="3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x14ac:dyDescent="0.2">
      <c r="A669" s="1"/>
      <c r="B669" s="3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x14ac:dyDescent="0.2">
      <c r="A670" s="1"/>
      <c r="B670" s="3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x14ac:dyDescent="0.2">
      <c r="A671" s="1"/>
      <c r="B671" s="3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x14ac:dyDescent="0.2">
      <c r="A672" s="1"/>
      <c r="B672" s="3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x14ac:dyDescent="0.2">
      <c r="A673" s="1"/>
      <c r="B673" s="3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x14ac:dyDescent="0.2">
      <c r="A674" s="1"/>
      <c r="B674" s="3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x14ac:dyDescent="0.2">
      <c r="A675" s="1"/>
      <c r="B675" s="3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x14ac:dyDescent="0.2">
      <c r="A676" s="1"/>
      <c r="B676" s="3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x14ac:dyDescent="0.2">
      <c r="A677" s="1"/>
      <c r="B677" s="3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x14ac:dyDescent="0.2">
      <c r="A678" s="1"/>
      <c r="B678" s="3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x14ac:dyDescent="0.2">
      <c r="A679" s="1"/>
      <c r="B679" s="3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x14ac:dyDescent="0.2">
      <c r="A680" s="1"/>
      <c r="B680" s="3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x14ac:dyDescent="0.2">
      <c r="A681" s="1"/>
      <c r="B681" s="3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x14ac:dyDescent="0.2">
      <c r="A682" s="1"/>
      <c r="B682" s="3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x14ac:dyDescent="0.2">
      <c r="A683" s="1"/>
      <c r="B683" s="3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x14ac:dyDescent="0.2">
      <c r="A684" s="1"/>
      <c r="B684" s="3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x14ac:dyDescent="0.2">
      <c r="A685" s="1"/>
      <c r="B685" s="3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x14ac:dyDescent="0.2">
      <c r="A686" s="1"/>
      <c r="B686" s="3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x14ac:dyDescent="0.2">
      <c r="A687" s="1"/>
      <c r="B687" s="3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x14ac:dyDescent="0.2">
      <c r="A688" s="1"/>
      <c r="B688" s="3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x14ac:dyDescent="0.2">
      <c r="A689" s="1"/>
      <c r="B689" s="3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x14ac:dyDescent="0.2">
      <c r="A690" s="1"/>
      <c r="B690" s="3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x14ac:dyDescent="0.2">
      <c r="A691" s="1"/>
      <c r="B691" s="3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x14ac:dyDescent="0.2">
      <c r="A692" s="1"/>
      <c r="B692" s="3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x14ac:dyDescent="0.2">
      <c r="A693" s="1"/>
      <c r="B693" s="3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x14ac:dyDescent="0.2">
      <c r="A694" s="1"/>
      <c r="B694" s="3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x14ac:dyDescent="0.2">
      <c r="A695" s="1"/>
      <c r="B695" s="3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x14ac:dyDescent="0.2">
      <c r="A696" s="1"/>
      <c r="B696" s="3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x14ac:dyDescent="0.2">
      <c r="A697" s="1"/>
      <c r="B697" s="3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x14ac:dyDescent="0.2">
      <c r="A698" s="1"/>
      <c r="B698" s="3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x14ac:dyDescent="0.2">
      <c r="A699" s="1"/>
      <c r="B699" s="3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x14ac:dyDescent="0.2">
      <c r="A700" s="1"/>
      <c r="B700" s="3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x14ac:dyDescent="0.2">
      <c r="A701" s="1"/>
      <c r="B701" s="3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x14ac:dyDescent="0.2">
      <c r="A702" s="1"/>
      <c r="B702" s="3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x14ac:dyDescent="0.2">
      <c r="A703" s="1"/>
      <c r="B703" s="3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x14ac:dyDescent="0.2">
      <c r="A704" s="1"/>
      <c r="B704" s="3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x14ac:dyDescent="0.2">
      <c r="A705" s="1"/>
      <c r="B705" s="3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x14ac:dyDescent="0.2">
      <c r="A706" s="1"/>
      <c r="B706" s="3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x14ac:dyDescent="0.2">
      <c r="A707" s="1"/>
      <c r="B707" s="3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x14ac:dyDescent="0.2">
      <c r="A708" s="1"/>
      <c r="B708" s="3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x14ac:dyDescent="0.2">
      <c r="A709" s="1"/>
      <c r="B709" s="3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x14ac:dyDescent="0.2">
      <c r="A710" s="1"/>
      <c r="B710" s="3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x14ac:dyDescent="0.2">
      <c r="A711" s="1"/>
      <c r="B711" s="3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x14ac:dyDescent="0.2">
      <c r="A712" s="1"/>
      <c r="B712" s="3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x14ac:dyDescent="0.2">
      <c r="A713" s="1"/>
      <c r="B713" s="3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x14ac:dyDescent="0.2">
      <c r="A714" s="1"/>
      <c r="B714" s="3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x14ac:dyDescent="0.2">
      <c r="A715" s="1"/>
      <c r="B715" s="3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x14ac:dyDescent="0.2">
      <c r="A716" s="1"/>
      <c r="B716" s="3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x14ac:dyDescent="0.2">
      <c r="A717" s="1"/>
      <c r="B717" s="3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x14ac:dyDescent="0.2">
      <c r="A718" s="1"/>
      <c r="B718" s="3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x14ac:dyDescent="0.2">
      <c r="A719" s="1"/>
      <c r="B719" s="3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x14ac:dyDescent="0.2">
      <c r="A720" s="1"/>
      <c r="B720" s="3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x14ac:dyDescent="0.2">
      <c r="A721" s="1"/>
      <c r="B721" s="3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x14ac:dyDescent="0.2">
      <c r="A722" s="1"/>
      <c r="B722" s="3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x14ac:dyDescent="0.2">
      <c r="A723" s="1"/>
      <c r="B723" s="3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x14ac:dyDescent="0.2">
      <c r="A724" s="1"/>
      <c r="B724" s="3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x14ac:dyDescent="0.2">
      <c r="A725" s="1"/>
      <c r="B725" s="3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x14ac:dyDescent="0.2">
      <c r="A726" s="1"/>
      <c r="B726" s="3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x14ac:dyDescent="0.2">
      <c r="A727" s="1"/>
      <c r="B727" s="3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x14ac:dyDescent="0.2">
      <c r="A728" s="1"/>
      <c r="B728" s="3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x14ac:dyDescent="0.2">
      <c r="A729" s="1"/>
      <c r="B729" s="3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x14ac:dyDescent="0.2">
      <c r="A730" s="1"/>
      <c r="B730" s="3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x14ac:dyDescent="0.2">
      <c r="A731" s="1"/>
      <c r="B731" s="3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x14ac:dyDescent="0.2">
      <c r="A732" s="1"/>
      <c r="B732" s="3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x14ac:dyDescent="0.2">
      <c r="A733" s="1"/>
      <c r="B733" s="3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x14ac:dyDescent="0.2">
      <c r="A734" s="1"/>
      <c r="B734" s="3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x14ac:dyDescent="0.2">
      <c r="A735" s="1"/>
      <c r="B735" s="3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x14ac:dyDescent="0.2">
      <c r="A736" s="1"/>
      <c r="B736" s="3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x14ac:dyDescent="0.2">
      <c r="A737" s="1"/>
      <c r="B737" s="3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x14ac:dyDescent="0.2">
      <c r="A738" s="1"/>
      <c r="B738" s="3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x14ac:dyDescent="0.2">
      <c r="A739" s="1"/>
      <c r="B739" s="3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x14ac:dyDescent="0.2">
      <c r="A740" s="1"/>
      <c r="B740" s="3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x14ac:dyDescent="0.2">
      <c r="A741" s="1"/>
      <c r="B741" s="3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x14ac:dyDescent="0.2">
      <c r="A742" s="1"/>
      <c r="B742" s="3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x14ac:dyDescent="0.2">
      <c r="A743" s="1"/>
      <c r="B743" s="3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x14ac:dyDescent="0.2">
      <c r="A744" s="1"/>
      <c r="B744" s="3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x14ac:dyDescent="0.2">
      <c r="A745" s="1"/>
      <c r="B745" s="3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x14ac:dyDescent="0.2">
      <c r="A746" s="1"/>
      <c r="B746" s="3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x14ac:dyDescent="0.2">
      <c r="A747" s="1"/>
      <c r="B747" s="3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x14ac:dyDescent="0.2">
      <c r="A748" s="1"/>
      <c r="B748" s="3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x14ac:dyDescent="0.2">
      <c r="A749" s="1"/>
      <c r="B749" s="3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x14ac:dyDescent="0.2">
      <c r="A750" s="1"/>
      <c r="B750" s="3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x14ac:dyDescent="0.2">
      <c r="A751" s="1"/>
      <c r="B751" s="3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x14ac:dyDescent="0.2">
      <c r="A752" s="1"/>
      <c r="B752" s="3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x14ac:dyDescent="0.2">
      <c r="A753" s="1"/>
      <c r="B753" s="3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x14ac:dyDescent="0.2">
      <c r="A754" s="1"/>
      <c r="B754" s="3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x14ac:dyDescent="0.2">
      <c r="A755" s="1"/>
      <c r="B755" s="3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x14ac:dyDescent="0.2">
      <c r="A756" s="1"/>
      <c r="B756" s="3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x14ac:dyDescent="0.2">
      <c r="A757" s="1"/>
      <c r="B757" s="3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x14ac:dyDescent="0.2">
      <c r="A758" s="1"/>
      <c r="B758" s="3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x14ac:dyDescent="0.2">
      <c r="A759" s="1"/>
      <c r="B759" s="3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x14ac:dyDescent="0.2">
      <c r="A760" s="1"/>
      <c r="B760" s="3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x14ac:dyDescent="0.2">
      <c r="A761" s="1"/>
      <c r="B761" s="3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x14ac:dyDescent="0.2">
      <c r="A762" s="1"/>
      <c r="B762" s="3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x14ac:dyDescent="0.2">
      <c r="A763" s="1"/>
      <c r="B763" s="3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x14ac:dyDescent="0.2">
      <c r="A764" s="1"/>
      <c r="B764" s="3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x14ac:dyDescent="0.2">
      <c r="A765" s="1"/>
      <c r="B765" s="3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x14ac:dyDescent="0.2">
      <c r="A766" s="1"/>
      <c r="B766" s="3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x14ac:dyDescent="0.2">
      <c r="A767" s="1"/>
      <c r="B767" s="3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x14ac:dyDescent="0.2">
      <c r="A768" s="1"/>
      <c r="B768" s="3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x14ac:dyDescent="0.2">
      <c r="A769" s="1"/>
      <c r="B769" s="3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x14ac:dyDescent="0.2">
      <c r="A770" s="1"/>
      <c r="B770" s="3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x14ac:dyDescent="0.2">
      <c r="A771" s="1"/>
      <c r="B771" s="3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x14ac:dyDescent="0.2">
      <c r="A772" s="1"/>
      <c r="B772" s="3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x14ac:dyDescent="0.2">
      <c r="A773" s="1"/>
      <c r="B773" s="3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x14ac:dyDescent="0.2">
      <c r="A774" s="1"/>
      <c r="B774" s="3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x14ac:dyDescent="0.2">
      <c r="A775" s="1"/>
      <c r="B775" s="3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x14ac:dyDescent="0.2">
      <c r="A776" s="1"/>
      <c r="B776" s="3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x14ac:dyDescent="0.2">
      <c r="A777" s="1"/>
      <c r="B777" s="3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x14ac:dyDescent="0.2">
      <c r="A778" s="1"/>
      <c r="B778" s="3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x14ac:dyDescent="0.2">
      <c r="A779" s="1"/>
      <c r="B779" s="3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x14ac:dyDescent="0.2">
      <c r="A780" s="1"/>
      <c r="B780" s="3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x14ac:dyDescent="0.2">
      <c r="A781" s="1"/>
      <c r="B781" s="3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x14ac:dyDescent="0.2">
      <c r="A782" s="1"/>
      <c r="B782" s="3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x14ac:dyDescent="0.2">
      <c r="A783" s="1"/>
      <c r="B783" s="3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x14ac:dyDescent="0.2">
      <c r="A784" s="1"/>
      <c r="B784" s="3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x14ac:dyDescent="0.2">
      <c r="A785" s="1"/>
      <c r="B785" s="3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x14ac:dyDescent="0.2">
      <c r="A786" s="1"/>
      <c r="B786" s="3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x14ac:dyDescent="0.2">
      <c r="A787" s="1"/>
      <c r="B787" s="3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x14ac:dyDescent="0.2">
      <c r="A788" s="1"/>
      <c r="B788" s="3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x14ac:dyDescent="0.2">
      <c r="A789" s="1"/>
      <c r="B789" s="3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x14ac:dyDescent="0.2">
      <c r="A790" s="1"/>
      <c r="B790" s="3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x14ac:dyDescent="0.2">
      <c r="A791" s="1"/>
      <c r="B791" s="3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x14ac:dyDescent="0.2">
      <c r="A792" s="1"/>
      <c r="B792" s="3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x14ac:dyDescent="0.2">
      <c r="A793" s="1"/>
      <c r="B793" s="3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x14ac:dyDescent="0.2">
      <c r="A794" s="1"/>
      <c r="B794" s="3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x14ac:dyDescent="0.2">
      <c r="A795" s="1"/>
      <c r="B795" s="3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x14ac:dyDescent="0.2">
      <c r="A796" s="1"/>
      <c r="B796" s="3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x14ac:dyDescent="0.2">
      <c r="A797" s="1"/>
      <c r="B797" s="3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x14ac:dyDescent="0.2">
      <c r="A798" s="1"/>
      <c r="B798" s="3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x14ac:dyDescent="0.2">
      <c r="A799" s="1"/>
      <c r="B799" s="3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x14ac:dyDescent="0.2">
      <c r="A800" s="1"/>
      <c r="B800" s="3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x14ac:dyDescent="0.2">
      <c r="A801" s="1"/>
      <c r="B801" s="3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x14ac:dyDescent="0.2">
      <c r="A802" s="1"/>
      <c r="B802" s="3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x14ac:dyDescent="0.2">
      <c r="A803" s="1"/>
      <c r="B803" s="3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x14ac:dyDescent="0.2">
      <c r="A804" s="1"/>
      <c r="B804" s="3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x14ac:dyDescent="0.2">
      <c r="A805" s="1"/>
      <c r="B805" s="3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x14ac:dyDescent="0.2">
      <c r="A806" s="1"/>
      <c r="B806" s="3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x14ac:dyDescent="0.2">
      <c r="A807" s="1"/>
      <c r="B807" s="3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x14ac:dyDescent="0.2">
      <c r="A808" s="1"/>
      <c r="B808" s="3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x14ac:dyDescent="0.2">
      <c r="A809" s="1"/>
      <c r="B809" s="3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x14ac:dyDescent="0.2">
      <c r="A810" s="1"/>
      <c r="B810" s="3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x14ac:dyDescent="0.2">
      <c r="A811" s="1"/>
      <c r="B811" s="3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x14ac:dyDescent="0.2">
      <c r="A812" s="1"/>
      <c r="B812" s="3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x14ac:dyDescent="0.2">
      <c r="A813" s="1"/>
      <c r="B813" s="3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x14ac:dyDescent="0.2">
      <c r="A814" s="1"/>
      <c r="B814" s="3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x14ac:dyDescent="0.2">
      <c r="A815" s="1"/>
      <c r="B815" s="3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x14ac:dyDescent="0.2">
      <c r="A816" s="1"/>
      <c r="B816" s="3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x14ac:dyDescent="0.2">
      <c r="A817" s="1"/>
      <c r="B817" s="3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x14ac:dyDescent="0.2">
      <c r="A818" s="1"/>
      <c r="B818" s="3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x14ac:dyDescent="0.2">
      <c r="A819" s="1"/>
      <c r="B819" s="3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x14ac:dyDescent="0.2">
      <c r="A820" s="1"/>
      <c r="B820" s="3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x14ac:dyDescent="0.2">
      <c r="A821" s="1"/>
      <c r="B821" s="3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x14ac:dyDescent="0.2">
      <c r="A822" s="1"/>
      <c r="B822" s="3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x14ac:dyDescent="0.2">
      <c r="A823" s="1"/>
      <c r="B823" s="3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x14ac:dyDescent="0.2">
      <c r="A824" s="1"/>
      <c r="B824" s="3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x14ac:dyDescent="0.2">
      <c r="A825" s="1"/>
      <c r="B825" s="3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x14ac:dyDescent="0.2">
      <c r="A826" s="1"/>
      <c r="B826" s="3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x14ac:dyDescent="0.2">
      <c r="A827" s="1"/>
      <c r="B827" s="3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x14ac:dyDescent="0.2">
      <c r="A828" s="1"/>
      <c r="B828" s="3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x14ac:dyDescent="0.2">
      <c r="A829" s="1"/>
      <c r="B829" s="3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x14ac:dyDescent="0.2">
      <c r="A830" s="1"/>
      <c r="B830" s="3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x14ac:dyDescent="0.2">
      <c r="A831" s="1"/>
      <c r="B831" s="3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x14ac:dyDescent="0.2">
      <c r="A832" s="1"/>
      <c r="B832" s="3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x14ac:dyDescent="0.2">
      <c r="A833" s="1"/>
      <c r="B833" s="3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x14ac:dyDescent="0.2">
      <c r="A834" s="1"/>
      <c r="B834" s="3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x14ac:dyDescent="0.2">
      <c r="A835" s="1"/>
      <c r="B835" s="3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x14ac:dyDescent="0.2">
      <c r="A836" s="1"/>
      <c r="B836" s="3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x14ac:dyDescent="0.2">
      <c r="A837" s="1"/>
      <c r="B837" s="3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x14ac:dyDescent="0.2">
      <c r="A838" s="1"/>
      <c r="B838" s="3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x14ac:dyDescent="0.2">
      <c r="A839" s="1"/>
      <c r="B839" s="3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x14ac:dyDescent="0.2">
      <c r="A840" s="1"/>
      <c r="B840" s="3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x14ac:dyDescent="0.2">
      <c r="A841" s="1"/>
      <c r="B841" s="3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x14ac:dyDescent="0.2">
      <c r="A842" s="1"/>
      <c r="B842" s="3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x14ac:dyDescent="0.2">
      <c r="A843" s="1"/>
      <c r="B843" s="3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x14ac:dyDescent="0.2">
      <c r="A844" s="1"/>
      <c r="B844" s="3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x14ac:dyDescent="0.2">
      <c r="A845" s="1"/>
      <c r="B845" s="3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x14ac:dyDescent="0.2">
      <c r="A846" s="1"/>
      <c r="B846" s="3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x14ac:dyDescent="0.2">
      <c r="A847" s="1"/>
      <c r="B847" s="3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x14ac:dyDescent="0.2">
      <c r="A848" s="1"/>
      <c r="B848" s="3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x14ac:dyDescent="0.2">
      <c r="A849" s="1"/>
      <c r="B849" s="3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x14ac:dyDescent="0.2">
      <c r="A850" s="1"/>
      <c r="B850" s="3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x14ac:dyDescent="0.2">
      <c r="A851" s="1"/>
      <c r="B851" s="3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x14ac:dyDescent="0.2">
      <c r="A852" s="1"/>
      <c r="B852" s="3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x14ac:dyDescent="0.2">
      <c r="A853" s="1"/>
      <c r="B853" s="3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x14ac:dyDescent="0.2">
      <c r="A854" s="1"/>
      <c r="B854" s="3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x14ac:dyDescent="0.2">
      <c r="A855" s="1"/>
      <c r="B855" s="3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x14ac:dyDescent="0.2">
      <c r="A856" s="1"/>
      <c r="B856" s="3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x14ac:dyDescent="0.2">
      <c r="A857" s="1"/>
      <c r="B857" s="3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x14ac:dyDescent="0.2">
      <c r="A858" s="1"/>
      <c r="B858" s="3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x14ac:dyDescent="0.2">
      <c r="A859" s="1"/>
      <c r="B859" s="3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x14ac:dyDescent="0.2">
      <c r="A860" s="1"/>
      <c r="B860" s="3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x14ac:dyDescent="0.2">
      <c r="A861" s="1"/>
      <c r="B861" s="3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x14ac:dyDescent="0.2">
      <c r="A862" s="1"/>
      <c r="B862" s="3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x14ac:dyDescent="0.2">
      <c r="A863" s="1"/>
      <c r="B863" s="3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x14ac:dyDescent="0.2">
      <c r="A864" s="1"/>
      <c r="B864" s="3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x14ac:dyDescent="0.2">
      <c r="A865" s="1"/>
      <c r="B865" s="3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x14ac:dyDescent="0.2">
      <c r="A866" s="1"/>
      <c r="B866" s="3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x14ac:dyDescent="0.2">
      <c r="A867" s="1"/>
      <c r="B867" s="3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x14ac:dyDescent="0.2">
      <c r="A868" s="1"/>
      <c r="B868" s="3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x14ac:dyDescent="0.2">
      <c r="A869" s="1"/>
      <c r="B869" s="3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x14ac:dyDescent="0.2">
      <c r="A870" s="1"/>
      <c r="B870" s="3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x14ac:dyDescent="0.2">
      <c r="A871" s="1"/>
      <c r="B871" s="3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x14ac:dyDescent="0.2">
      <c r="A872" s="1"/>
      <c r="B872" s="3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x14ac:dyDescent="0.2">
      <c r="A873" s="1"/>
      <c r="B873" s="3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x14ac:dyDescent="0.2">
      <c r="A874" s="1"/>
      <c r="B874" s="3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x14ac:dyDescent="0.2">
      <c r="A875" s="1"/>
      <c r="B875" s="3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x14ac:dyDescent="0.2">
      <c r="A876" s="1"/>
      <c r="B876" s="3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x14ac:dyDescent="0.2">
      <c r="A877" s="1"/>
      <c r="B877" s="3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x14ac:dyDescent="0.2">
      <c r="A878" s="1"/>
      <c r="B878" s="3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x14ac:dyDescent="0.2">
      <c r="A879" s="1"/>
      <c r="B879" s="3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x14ac:dyDescent="0.2">
      <c r="A880" s="1"/>
      <c r="B880" s="3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x14ac:dyDescent="0.2">
      <c r="A881" s="1"/>
      <c r="B881" s="3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x14ac:dyDescent="0.2">
      <c r="A882" s="1"/>
      <c r="B882" s="3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x14ac:dyDescent="0.2">
      <c r="A883" s="1"/>
      <c r="B883" s="3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x14ac:dyDescent="0.2">
      <c r="A884" s="1"/>
      <c r="B884" s="3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x14ac:dyDescent="0.2">
      <c r="A885" s="1"/>
      <c r="B885" s="3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x14ac:dyDescent="0.2">
      <c r="A886" s="1"/>
      <c r="B886" s="3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x14ac:dyDescent="0.2">
      <c r="A887" s="1"/>
      <c r="B887" s="3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x14ac:dyDescent="0.2">
      <c r="A888" s="1"/>
      <c r="B888" s="3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x14ac:dyDescent="0.2">
      <c r="A889" s="1"/>
      <c r="B889" s="3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x14ac:dyDescent="0.2">
      <c r="A890" s="1"/>
      <c r="B890" s="3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x14ac:dyDescent="0.2">
      <c r="A891" s="1"/>
      <c r="B891" s="3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x14ac:dyDescent="0.2">
      <c r="A892" s="1"/>
      <c r="B892" s="3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x14ac:dyDescent="0.2">
      <c r="A893" s="1"/>
      <c r="B893" s="3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x14ac:dyDescent="0.2">
      <c r="A894" s="1"/>
      <c r="B894" s="3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x14ac:dyDescent="0.2">
      <c r="A895" s="1"/>
      <c r="B895" s="3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x14ac:dyDescent="0.2">
      <c r="A896" s="1"/>
      <c r="B896" s="3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x14ac:dyDescent="0.2">
      <c r="A897" s="1"/>
      <c r="B897" s="3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x14ac:dyDescent="0.2">
      <c r="A898" s="1"/>
      <c r="B898" s="3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x14ac:dyDescent="0.2">
      <c r="A899" s="1"/>
      <c r="B899" s="3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x14ac:dyDescent="0.2">
      <c r="A900" s="1"/>
      <c r="B900" s="3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x14ac:dyDescent="0.2">
      <c r="A901" s="1"/>
      <c r="B901" s="3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x14ac:dyDescent="0.2">
      <c r="A902" s="1"/>
      <c r="B902" s="3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x14ac:dyDescent="0.2">
      <c r="A903" s="1"/>
      <c r="B903" s="3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x14ac:dyDescent="0.2">
      <c r="A904" s="1"/>
      <c r="B904" s="3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x14ac:dyDescent="0.2">
      <c r="A905" s="1"/>
      <c r="B905" s="3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x14ac:dyDescent="0.2">
      <c r="A906" s="1"/>
      <c r="B906" s="3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x14ac:dyDescent="0.2">
      <c r="A907" s="1"/>
      <c r="B907" s="3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x14ac:dyDescent="0.2">
      <c r="A908" s="1"/>
      <c r="B908" s="3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x14ac:dyDescent="0.2">
      <c r="A909" s="1"/>
      <c r="B909" s="3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x14ac:dyDescent="0.2">
      <c r="A910" s="1"/>
      <c r="B910" s="3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x14ac:dyDescent="0.2">
      <c r="A911" s="1"/>
      <c r="B911" s="3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x14ac:dyDescent="0.2">
      <c r="A912" s="1"/>
      <c r="B912" s="3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x14ac:dyDescent="0.2">
      <c r="A913" s="1"/>
      <c r="B913" s="3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x14ac:dyDescent="0.2">
      <c r="A914" s="1"/>
      <c r="B914" s="3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x14ac:dyDescent="0.2">
      <c r="A915" s="1"/>
      <c r="B915" s="3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x14ac:dyDescent="0.2">
      <c r="A916" s="1"/>
      <c r="B916" s="3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x14ac:dyDescent="0.2">
      <c r="A917" s="1"/>
      <c r="B917" s="3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x14ac:dyDescent="0.2">
      <c r="A918" s="1"/>
      <c r="B918" s="3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x14ac:dyDescent="0.2">
      <c r="A919" s="1"/>
      <c r="B919" s="3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x14ac:dyDescent="0.2">
      <c r="A920" s="1"/>
      <c r="B920" s="3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x14ac:dyDescent="0.2">
      <c r="A921" s="1"/>
      <c r="B921" s="3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x14ac:dyDescent="0.2">
      <c r="A922" s="1"/>
      <c r="B922" s="3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x14ac:dyDescent="0.2">
      <c r="A923" s="1"/>
      <c r="B923" s="3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x14ac:dyDescent="0.2">
      <c r="A924" s="1"/>
      <c r="B924" s="3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x14ac:dyDescent="0.2">
      <c r="A925" s="1"/>
      <c r="B925" s="3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x14ac:dyDescent="0.2">
      <c r="A926" s="1"/>
      <c r="B926" s="3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x14ac:dyDescent="0.2">
      <c r="A927" s="1"/>
      <c r="B927" s="3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x14ac:dyDescent="0.2">
      <c r="A928" s="1"/>
      <c r="B928" s="3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x14ac:dyDescent="0.2">
      <c r="A929" s="1"/>
      <c r="B929" s="3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x14ac:dyDescent="0.2">
      <c r="A930" s="1"/>
      <c r="B930" s="3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x14ac:dyDescent="0.2">
      <c r="A931" s="1"/>
      <c r="B931" s="3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x14ac:dyDescent="0.2">
      <c r="A932" s="1"/>
      <c r="B932" s="3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x14ac:dyDescent="0.2">
      <c r="A933" s="1"/>
      <c r="B933" s="3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x14ac:dyDescent="0.2">
      <c r="A934" s="1"/>
      <c r="B934" s="3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x14ac:dyDescent="0.2">
      <c r="A935" s="1"/>
      <c r="B935" s="3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x14ac:dyDescent="0.2">
      <c r="A936" s="1"/>
      <c r="B936" s="3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x14ac:dyDescent="0.2">
      <c r="A937" s="1"/>
      <c r="B937" s="3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x14ac:dyDescent="0.2">
      <c r="A938" s="1"/>
      <c r="B938" s="3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x14ac:dyDescent="0.2">
      <c r="A939" s="1"/>
      <c r="B939" s="3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x14ac:dyDescent="0.2">
      <c r="A940" s="1"/>
      <c r="B940" s="3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x14ac:dyDescent="0.2">
      <c r="A941" s="1"/>
      <c r="B941" s="3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x14ac:dyDescent="0.2">
      <c r="A942" s="1"/>
      <c r="B942" s="3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x14ac:dyDescent="0.2">
      <c r="A943" s="1"/>
      <c r="B943" s="3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x14ac:dyDescent="0.2">
      <c r="A944" s="1"/>
      <c r="B944" s="3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x14ac:dyDescent="0.2">
      <c r="A945" s="1"/>
      <c r="B945" s="3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x14ac:dyDescent="0.2">
      <c r="A946" s="1"/>
      <c r="B946" s="3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x14ac:dyDescent="0.2">
      <c r="A947" s="1"/>
      <c r="B947" s="3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x14ac:dyDescent="0.2">
      <c r="A948" s="1"/>
      <c r="B948" s="3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x14ac:dyDescent="0.2">
      <c r="A949" s="1"/>
      <c r="B949" s="3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x14ac:dyDescent="0.2">
      <c r="A950" s="1"/>
      <c r="B950" s="3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x14ac:dyDescent="0.2">
      <c r="A951" s="1"/>
      <c r="B951" s="3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x14ac:dyDescent="0.2">
      <c r="A952" s="1"/>
      <c r="B952" s="3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x14ac:dyDescent="0.2">
      <c r="A953" s="1"/>
      <c r="B953" s="3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x14ac:dyDescent="0.2">
      <c r="A954" s="1"/>
      <c r="B954" s="3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x14ac:dyDescent="0.2">
      <c r="A955" s="1"/>
      <c r="B955" s="3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x14ac:dyDescent="0.2">
      <c r="A956" s="1"/>
      <c r="B956" s="3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x14ac:dyDescent="0.2">
      <c r="A957" s="1"/>
      <c r="B957" s="3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x14ac:dyDescent="0.2">
      <c r="A958" s="1"/>
      <c r="B958" s="3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x14ac:dyDescent="0.2">
      <c r="A959" s="1"/>
      <c r="B959" s="3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x14ac:dyDescent="0.2">
      <c r="A960" s="1"/>
      <c r="B960" s="3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x14ac:dyDescent="0.2">
      <c r="A961" s="1"/>
      <c r="B961" s="3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x14ac:dyDescent="0.2">
      <c r="A962" s="1"/>
      <c r="B962" s="3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x14ac:dyDescent="0.2">
      <c r="A963" s="1"/>
      <c r="B963" s="3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x14ac:dyDescent="0.2">
      <c r="A964" s="1"/>
      <c r="B964" s="3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x14ac:dyDescent="0.2">
      <c r="A965" s="1"/>
      <c r="B965" s="3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x14ac:dyDescent="0.2">
      <c r="A966" s="1"/>
      <c r="B966" s="3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x14ac:dyDescent="0.2">
      <c r="A967" s="1"/>
      <c r="B967" s="3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x14ac:dyDescent="0.2">
      <c r="A968" s="1"/>
      <c r="B968" s="3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x14ac:dyDescent="0.2">
      <c r="A969" s="1"/>
      <c r="B969" s="3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x14ac:dyDescent="0.2">
      <c r="A970" s="1"/>
      <c r="B970" s="3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x14ac:dyDescent="0.2">
      <c r="A971" s="1"/>
      <c r="B971" s="3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x14ac:dyDescent="0.2">
      <c r="A972" s="1"/>
      <c r="B972" s="3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x14ac:dyDescent="0.2">
      <c r="A973" s="1"/>
      <c r="B973" s="3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x14ac:dyDescent="0.2">
      <c r="A974" s="1"/>
      <c r="B974" s="3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x14ac:dyDescent="0.2">
      <c r="A975" s="1"/>
      <c r="B975" s="3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x14ac:dyDescent="0.2">
      <c r="A976" s="1"/>
      <c r="B976" s="3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x14ac:dyDescent="0.2">
      <c r="A977" s="1"/>
      <c r="B977" s="3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x14ac:dyDescent="0.2">
      <c r="A978" s="1"/>
      <c r="B978" s="3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x14ac:dyDescent="0.2">
      <c r="A979" s="1"/>
      <c r="B979" s="3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x14ac:dyDescent="0.2">
      <c r="A980" s="1"/>
      <c r="B980" s="3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x14ac:dyDescent="0.2">
      <c r="A981" s="1"/>
      <c r="B981" s="3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x14ac:dyDescent="0.2">
      <c r="A982" s="1"/>
      <c r="B982" s="3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x14ac:dyDescent="0.2">
      <c r="A983" s="1"/>
      <c r="B983" s="3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x14ac:dyDescent="0.2">
      <c r="A984" s="1"/>
      <c r="B984" s="3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x14ac:dyDescent="0.2">
      <c r="A985" s="1"/>
      <c r="B985" s="3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x14ac:dyDescent="0.2">
      <c r="A986" s="1"/>
      <c r="B986" s="3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x14ac:dyDescent="0.2">
      <c r="A987" s="1"/>
      <c r="B987" s="3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x14ac:dyDescent="0.2">
      <c r="A988" s="1"/>
      <c r="B988" s="3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x14ac:dyDescent="0.2">
      <c r="A989" s="1"/>
      <c r="B989" s="3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x14ac:dyDescent="0.2">
      <c r="A990" s="1"/>
      <c r="B990" s="3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x14ac:dyDescent="0.2">
      <c r="A991" s="1"/>
      <c r="B991" s="3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x14ac:dyDescent="0.2">
      <c r="A992" s="1"/>
      <c r="B992" s="3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x14ac:dyDescent="0.2">
      <c r="A993" s="1"/>
      <c r="B993" s="3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x14ac:dyDescent="0.2">
      <c r="A994" s="1"/>
      <c r="B994" s="3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x14ac:dyDescent="0.2">
      <c r="A995" s="1"/>
      <c r="B995" s="3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x14ac:dyDescent="0.2">
      <c r="A996" s="1"/>
      <c r="B996" s="3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x14ac:dyDescent="0.2">
      <c r="A997" s="1"/>
      <c r="B997" s="3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x14ac:dyDescent="0.2">
      <c r="A998" s="1"/>
      <c r="B998" s="3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x14ac:dyDescent="0.2">
      <c r="A999" s="1"/>
      <c r="B999" s="3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x14ac:dyDescent="0.2">
      <c r="A1000" s="1"/>
      <c r="B1000" s="3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activeCell="C2" sqref="C2"/>
    </sheetView>
  </sheetViews>
  <sheetFormatPr defaultColWidth="12.5703125" defaultRowHeight="15.75" customHeight="1" x14ac:dyDescent="0.2"/>
  <cols>
    <col min="2" max="2" width="16.5703125" bestFit="1" customWidth="1"/>
    <col min="3" max="3" width="15" bestFit="1" customWidth="1"/>
  </cols>
  <sheetData>
    <row r="1" spans="1:26" x14ac:dyDescent="0.2">
      <c r="A1" s="2" t="s">
        <v>51</v>
      </c>
      <c r="B1" s="2" t="s">
        <v>52</v>
      </c>
      <c r="C1" s="2" t="s">
        <v>53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2" t="s">
        <v>54</v>
      </c>
      <c r="B2" s="12">
        <v>1920209349</v>
      </c>
      <c r="C2" s="12">
        <v>916943191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2" t="s">
        <v>55</v>
      </c>
      <c r="B3" s="12">
        <v>1581433753</v>
      </c>
      <c r="C3" s="12">
        <v>-65395875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2" t="s">
        <v>56</v>
      </c>
      <c r="B4" s="12">
        <v>2897237502</v>
      </c>
      <c r="C4" s="12">
        <v>414960383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2" t="s">
        <v>57</v>
      </c>
      <c r="B5" s="12">
        <v>1868160949</v>
      </c>
      <c r="C5" s="12">
        <v>-645377136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2" t="s">
        <v>58</v>
      </c>
      <c r="B6" s="12">
        <v>569983267</v>
      </c>
      <c r="C6" s="12">
        <v>-876632452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selection activeCell="D10" sqref="D10"/>
    </sheetView>
  </sheetViews>
  <sheetFormatPr defaultColWidth="12.5703125" defaultRowHeight="15.75" customHeight="1" x14ac:dyDescent="0.2"/>
  <cols>
    <col min="4" max="4" width="24.7109375" customWidth="1"/>
  </cols>
  <sheetData>
    <row r="1" spans="1:26" x14ac:dyDescent="0.2">
      <c r="A1" s="2" t="s">
        <v>59</v>
      </c>
      <c r="B1" s="2" t="s">
        <v>60</v>
      </c>
      <c r="C1" s="2" t="s">
        <v>61</v>
      </c>
      <c r="D1" s="2" t="s">
        <v>62</v>
      </c>
      <c r="E1" s="2" t="s">
        <v>63</v>
      </c>
      <c r="F1" s="2" t="s">
        <v>64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2" t="s">
        <v>65</v>
      </c>
      <c r="B2" s="2" t="s">
        <v>66</v>
      </c>
      <c r="C2" s="10" t="s">
        <v>133</v>
      </c>
      <c r="D2" s="2" t="s">
        <v>67</v>
      </c>
      <c r="E2" s="2" t="s">
        <v>37</v>
      </c>
      <c r="F2" s="2" t="s">
        <v>68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2" t="s">
        <v>69</v>
      </c>
      <c r="B3" s="2" t="s">
        <v>13</v>
      </c>
      <c r="C3" s="10" t="s">
        <v>134</v>
      </c>
      <c r="D3" s="2" t="s">
        <v>70</v>
      </c>
      <c r="E3" s="2" t="s">
        <v>15</v>
      </c>
      <c r="F3" s="2" t="s">
        <v>71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2" t="s">
        <v>72</v>
      </c>
      <c r="B4" s="2" t="s">
        <v>73</v>
      </c>
      <c r="C4" s="10" t="s">
        <v>135</v>
      </c>
      <c r="D4" s="2" t="s">
        <v>74</v>
      </c>
      <c r="E4" s="2" t="s">
        <v>11</v>
      </c>
      <c r="F4" s="2" t="s">
        <v>75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>
      <selection activeCell="F16" sqref="F16"/>
    </sheetView>
  </sheetViews>
  <sheetFormatPr defaultColWidth="12.5703125" defaultRowHeight="15.75" customHeight="1" x14ac:dyDescent="0.2"/>
  <sheetData>
    <row r="1" spans="1:26" x14ac:dyDescent="0.2">
      <c r="A1" s="2" t="s">
        <v>51</v>
      </c>
      <c r="B1" s="2" t="s">
        <v>76</v>
      </c>
      <c r="C1" s="2" t="s">
        <v>77</v>
      </c>
      <c r="D1" s="2" t="s">
        <v>78</v>
      </c>
      <c r="E1" s="2" t="s">
        <v>79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2" t="s">
        <v>80</v>
      </c>
      <c r="B2" s="2" t="s">
        <v>81</v>
      </c>
      <c r="C2" s="2" t="s">
        <v>81</v>
      </c>
      <c r="D2" s="2" t="s">
        <v>81</v>
      </c>
      <c r="E2" s="2" t="s">
        <v>13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2" t="s">
        <v>82</v>
      </c>
      <c r="B3" s="2" t="s">
        <v>66</v>
      </c>
      <c r="C3" s="2" t="s">
        <v>13</v>
      </c>
      <c r="D3" s="2" t="s">
        <v>13</v>
      </c>
      <c r="E3" s="2" t="s">
        <v>13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2" t="s">
        <v>83</v>
      </c>
      <c r="B4" s="2" t="s">
        <v>66</v>
      </c>
      <c r="C4" s="2" t="s">
        <v>13</v>
      </c>
      <c r="D4" s="2" t="s">
        <v>13</v>
      </c>
      <c r="E4" s="2" t="s">
        <v>13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2" t="s">
        <v>54</v>
      </c>
      <c r="B5" s="2" t="s">
        <v>66</v>
      </c>
      <c r="C5" s="2" t="s">
        <v>73</v>
      </c>
      <c r="D5" s="2" t="s">
        <v>66</v>
      </c>
      <c r="E5" s="2" t="s">
        <v>73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2" t="s">
        <v>55</v>
      </c>
      <c r="B6" s="2" t="s">
        <v>66</v>
      </c>
      <c r="C6" s="2" t="s">
        <v>73</v>
      </c>
      <c r="D6" s="2" t="s">
        <v>66</v>
      </c>
      <c r="E6" s="2" t="s">
        <v>73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2" t="s">
        <v>56</v>
      </c>
      <c r="B7" s="2" t="s">
        <v>66</v>
      </c>
      <c r="C7" s="2" t="s">
        <v>73</v>
      </c>
      <c r="D7" s="2" t="s">
        <v>66</v>
      </c>
      <c r="E7" s="2" t="s">
        <v>73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2" t="s">
        <v>57</v>
      </c>
      <c r="B8" s="2" t="s">
        <v>66</v>
      </c>
      <c r="C8" s="2" t="s">
        <v>13</v>
      </c>
      <c r="D8" s="2" t="s">
        <v>73</v>
      </c>
      <c r="E8" s="2" t="s">
        <v>13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2" t="s">
        <v>58</v>
      </c>
      <c r="B9" s="2" t="s">
        <v>66</v>
      </c>
      <c r="C9" s="2" t="s">
        <v>13</v>
      </c>
      <c r="D9" s="2" t="s">
        <v>73</v>
      </c>
      <c r="E9" s="2" t="s">
        <v>13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1"/>
  <sheetViews>
    <sheetView workbookViewId="0">
      <selection activeCell="C12" sqref="C12"/>
    </sheetView>
  </sheetViews>
  <sheetFormatPr defaultColWidth="12.5703125" defaultRowHeight="15.75" customHeight="1" x14ac:dyDescent="0.2"/>
  <cols>
    <col min="1" max="1" width="34.7109375" customWidth="1"/>
  </cols>
  <sheetData>
    <row r="1" spans="1:26" x14ac:dyDescent="0.2">
      <c r="A1" s="2" t="s">
        <v>84</v>
      </c>
      <c r="B1" s="2" t="s">
        <v>85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2" t="s">
        <v>98</v>
      </c>
      <c r="B2" s="2" t="s">
        <v>99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2" t="s">
        <v>86</v>
      </c>
      <c r="B3" s="2" t="s">
        <v>87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2" t="s">
        <v>88</v>
      </c>
      <c r="B4" s="2" t="s">
        <v>87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2" t="s">
        <v>89</v>
      </c>
      <c r="B5" s="2" t="s">
        <v>87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2" t="s">
        <v>90</v>
      </c>
      <c r="B6" s="2" t="s">
        <v>87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2" t="s">
        <v>91</v>
      </c>
      <c r="B7" s="2" t="s">
        <v>87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2" t="s">
        <v>92</v>
      </c>
      <c r="B8" s="2" t="s">
        <v>87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2" t="s">
        <v>93</v>
      </c>
      <c r="B9" s="2" t="s">
        <v>87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2" t="s">
        <v>94</v>
      </c>
      <c r="B10" s="2" t="s">
        <v>87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2" t="s">
        <v>95</v>
      </c>
      <c r="B11" s="2" t="s">
        <v>87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2" t="s">
        <v>96</v>
      </c>
      <c r="B12" s="2" t="s">
        <v>97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0"/>
  <sheetViews>
    <sheetView workbookViewId="0">
      <selection activeCell="D9" sqref="D9"/>
    </sheetView>
  </sheetViews>
  <sheetFormatPr defaultColWidth="12.5703125" defaultRowHeight="15.75" customHeight="1" x14ac:dyDescent="0.2"/>
  <cols>
    <col min="2" max="2" width="16.5703125" bestFit="1" customWidth="1"/>
    <col min="3" max="3" width="17.7109375" bestFit="1" customWidth="1"/>
  </cols>
  <sheetData>
    <row r="1" spans="1:26" x14ac:dyDescent="0.2">
      <c r="A1" s="2" t="s">
        <v>51</v>
      </c>
      <c r="B1" s="2" t="s">
        <v>100</v>
      </c>
      <c r="C1" s="2" t="s">
        <v>101</v>
      </c>
      <c r="D1" s="2" t="s">
        <v>20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2" t="s">
        <v>57</v>
      </c>
      <c r="B2" s="13">
        <v>45994989</v>
      </c>
      <c r="C2" s="13">
        <v>36114673967</v>
      </c>
      <c r="D2" s="14">
        <v>0.13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2" t="s">
        <v>58</v>
      </c>
      <c r="B3" s="13">
        <v>90917920</v>
      </c>
      <c r="C3" s="13">
        <v>39201192140</v>
      </c>
      <c r="D3" s="14">
        <v>0.23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2" t="s">
        <v>102</v>
      </c>
      <c r="B4" s="13">
        <v>1260702458</v>
      </c>
      <c r="C4" s="13">
        <v>39949057610</v>
      </c>
      <c r="D4" s="14">
        <v>3.16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2" t="s">
        <v>103</v>
      </c>
      <c r="B5" s="13">
        <v>1215885481</v>
      </c>
      <c r="C5" s="13">
        <v>40711190573</v>
      </c>
      <c r="D5" s="14">
        <v>2.99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2" t="s">
        <v>104</v>
      </c>
      <c r="B6" s="13">
        <v>1185325620</v>
      </c>
      <c r="C6" s="13">
        <v>41487863219</v>
      </c>
      <c r="D6" s="14">
        <v>2.86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2" t="s">
        <v>105</v>
      </c>
      <c r="B7" s="13">
        <v>1142180763</v>
      </c>
      <c r="C7" s="13">
        <v>42279352932</v>
      </c>
      <c r="D7" s="14">
        <v>2.7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2" t="s">
        <v>106</v>
      </c>
      <c r="B8" s="13">
        <v>1099291965</v>
      </c>
      <c r="C8" s="13">
        <v>43085942385</v>
      </c>
      <c r="D8" s="14">
        <v>2.5499999999999998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2" t="s">
        <v>107</v>
      </c>
      <c r="B9" s="13">
        <v>1057320536</v>
      </c>
      <c r="C9" s="13">
        <v>43907919646</v>
      </c>
      <c r="D9" s="14">
        <v>2.41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2" t="s">
        <v>108</v>
      </c>
      <c r="B10" s="13">
        <v>1014191341</v>
      </c>
      <c r="C10" s="13">
        <v>44745578277</v>
      </c>
      <c r="D10" s="14">
        <v>2.27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2" t="s">
        <v>109</v>
      </c>
      <c r="B11" s="13">
        <v>971418599</v>
      </c>
      <c r="C11" s="13">
        <v>45599217441</v>
      </c>
      <c r="D11" s="14">
        <v>2.13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2" t="s">
        <v>110</v>
      </c>
      <c r="B12" s="13">
        <v>928983531</v>
      </c>
      <c r="C12" s="13">
        <v>46469142010</v>
      </c>
      <c r="D12" s="14">
        <v>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workbookViewId="0">
      <selection activeCell="B4" sqref="B4"/>
    </sheetView>
  </sheetViews>
  <sheetFormatPr defaultColWidth="12.5703125" defaultRowHeight="15.75" customHeight="1" x14ac:dyDescent="0.2"/>
  <cols>
    <col min="1" max="1" width="17.28515625" customWidth="1"/>
  </cols>
  <sheetData>
    <row r="1" spans="1:26" x14ac:dyDescent="0.2">
      <c r="A1" s="2" t="s">
        <v>0</v>
      </c>
      <c r="B1" s="2" t="s">
        <v>61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2" t="s">
        <v>111</v>
      </c>
      <c r="B2" s="11">
        <v>41.5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2" t="s">
        <v>112</v>
      </c>
      <c r="B3" s="11">
        <v>44.1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2" t="s">
        <v>113</v>
      </c>
      <c r="B4" s="11">
        <v>46.55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2" t="s">
        <v>114</v>
      </c>
      <c r="B5" s="11">
        <v>49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2" t="s">
        <v>115</v>
      </c>
      <c r="B6" s="11">
        <v>39.200000000000003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2"/>
      <c r="B7" s="4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2"/>
      <c r="B8" s="4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2"/>
      <c r="B9" s="4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2"/>
      <c r="B10" s="4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X1000"/>
  <sheetViews>
    <sheetView workbookViewId="0">
      <selection activeCell="D11" sqref="D11"/>
    </sheetView>
  </sheetViews>
  <sheetFormatPr defaultColWidth="12.5703125" defaultRowHeight="15.75" customHeight="1" x14ac:dyDescent="0.2"/>
  <cols>
    <col min="1" max="1" width="28.5703125" customWidth="1"/>
  </cols>
  <sheetData>
    <row r="1" spans="1:24" x14ac:dyDescent="0.2">
      <c r="A1" s="2" t="s">
        <v>59</v>
      </c>
      <c r="B1" s="2" t="s">
        <v>116</v>
      </c>
      <c r="C1" s="2" t="s">
        <v>64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">
      <c r="A2" s="2" t="s">
        <v>117</v>
      </c>
      <c r="B2" s="7">
        <v>25</v>
      </c>
      <c r="C2" s="2" t="s">
        <v>118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">
      <c r="A3" s="2" t="s">
        <v>119</v>
      </c>
      <c r="B3" s="7">
        <v>23</v>
      </c>
      <c r="C3" s="2" t="s">
        <v>120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">
      <c r="A4" s="2" t="s">
        <v>121</v>
      </c>
      <c r="B4" s="7">
        <v>22</v>
      </c>
      <c r="C4" s="2" t="s">
        <v>122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">
      <c r="A5" s="2" t="s">
        <v>123</v>
      </c>
      <c r="B5" s="7">
        <v>22</v>
      </c>
      <c r="C5" s="2" t="s">
        <v>124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">
      <c r="A6" s="2" t="s">
        <v>125</v>
      </c>
      <c r="B6" s="7">
        <v>23</v>
      </c>
      <c r="C6" s="2" t="s">
        <v>126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1:24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1:24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spans="1:24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spans="1:24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spans="1:24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spans="1:24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spans="1:24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kpis</vt:lpstr>
      <vt:lpstr>investimentos</vt:lpstr>
      <vt:lpstr>caixa</vt:lpstr>
      <vt:lpstr>capag</vt:lpstr>
      <vt:lpstr>capag_historico</vt:lpstr>
      <vt:lpstr>ppps</vt:lpstr>
      <vt:lpstr>ppps_projecao</vt:lpstr>
      <vt:lpstr>pessoal</vt:lpstr>
      <vt:lpstr>clp_ranking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Couri</dc:creator>
  <cp:lastModifiedBy>Daniel Veloso Couri</cp:lastModifiedBy>
  <dcterms:created xsi:type="dcterms:W3CDTF">2026-04-14T18:22:14Z</dcterms:created>
  <dcterms:modified xsi:type="dcterms:W3CDTF">2026-04-14T19:51:43Z</dcterms:modified>
</cp:coreProperties>
</file>
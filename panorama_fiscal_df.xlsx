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eu Drive\Trabalho\Fiscal DF\Panorama fiscal DF\dashboard\"/>
    </mc:Choice>
  </mc:AlternateContent>
  <xr:revisionPtr revIDLastSave="0" documentId="13_ncr:1_{22FCB052-D975-487C-9B09-599FDC66C63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kpis" sheetId="1" r:id="rId1"/>
    <sheet name="investimentos" sheetId="2" r:id="rId2"/>
    <sheet name="caixa" sheetId="3" r:id="rId3"/>
    <sheet name="capag" sheetId="4" r:id="rId4"/>
    <sheet name="capag_historico" sheetId="5" r:id="rId5"/>
    <sheet name="ppps" sheetId="6" r:id="rId6"/>
    <sheet name="ppps_projecao" sheetId="7" r:id="rId7"/>
    <sheet name="pessoal" sheetId="8" r:id="rId8"/>
    <sheet name="clp_rank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2" l="1"/>
</calcChain>
</file>

<file path=xl/sharedStrings.xml><?xml version="1.0" encoding="utf-8"?>
<sst xmlns="http://schemas.openxmlformats.org/spreadsheetml/2006/main" count="197" uniqueCount="136">
  <si>
    <t>chave</t>
  </si>
  <si>
    <t>valor_bilhoes</t>
  </si>
  <si>
    <t>sub</t>
  </si>
  <si>
    <t>cor</t>
  </si>
  <si>
    <t>orcamento_df</t>
  </si>
  <si>
    <t>blue</t>
  </si>
  <si>
    <t>fcdf</t>
  </si>
  <si>
    <t>38% da despesa total (2025)</t>
  </si>
  <si>
    <t>investimento_rcl</t>
  </si>
  <si>
    <t>20º lugar no Brasil</t>
  </si>
  <si>
    <t>amber</t>
  </si>
  <si>
    <t>capag</t>
  </si>
  <si>
    <t>C</t>
  </si>
  <si>
    <t>red</t>
  </si>
  <si>
    <t>caixa</t>
  </si>
  <si>
    <t>beneficios</t>
  </si>
  <si>
    <t>estado</t>
  </si>
  <si>
    <t>pct</t>
  </si>
  <si>
    <t>ranking</t>
  </si>
  <si>
    <t>destaque</t>
  </si>
  <si>
    <t>RN</t>
  </si>
  <si>
    <t>RR</t>
  </si>
  <si>
    <t>RO</t>
  </si>
  <si>
    <t>RS</t>
  </si>
  <si>
    <t>AM</t>
  </si>
  <si>
    <t>SP</t>
  </si>
  <si>
    <t>TO</t>
  </si>
  <si>
    <t>DF</t>
  </si>
  <si>
    <t>RJ</t>
  </si>
  <si>
    <t>AC</t>
  </si>
  <si>
    <t>MG</t>
  </si>
  <si>
    <t>SE</t>
  </si>
  <si>
    <t>AP</t>
  </si>
  <si>
    <t>PR</t>
  </si>
  <si>
    <t>green</t>
  </si>
  <si>
    <t>PE</t>
  </si>
  <si>
    <t>AL</t>
  </si>
  <si>
    <t>SC</t>
  </si>
  <si>
    <t>CE</t>
  </si>
  <si>
    <t>BA</t>
  </si>
  <si>
    <t>MS</t>
  </si>
  <si>
    <t>MT</t>
  </si>
  <si>
    <t>PB</t>
  </si>
  <si>
    <t>GO</t>
  </si>
  <si>
    <t>PA</t>
  </si>
  <si>
    <t>MA</t>
  </si>
  <si>
    <t>ES</t>
  </si>
  <si>
    <t>PI</t>
  </si>
  <si>
    <t>ano</t>
  </si>
  <si>
    <t>caixa_liquido</t>
  </si>
  <si>
    <t>nao_vinculado</t>
  </si>
  <si>
    <t>2021</t>
  </si>
  <si>
    <t>2022</t>
  </si>
  <si>
    <t>2023</t>
  </si>
  <si>
    <t>2024</t>
  </si>
  <si>
    <t>2025</t>
  </si>
  <si>
    <t>indicador</t>
  </si>
  <si>
    <t>nota</t>
  </si>
  <si>
    <t>valor</t>
  </si>
  <si>
    <t>obs</t>
  </si>
  <si>
    <t>badge</t>
  </si>
  <si>
    <t>conceito</t>
  </si>
  <si>
    <t>Endividamento</t>
  </si>
  <si>
    <t>A</t>
  </si>
  <si>
    <t>Espaço: R$ 11,4 bi sem perder nota A</t>
  </si>
  <si>
    <t>Mede a dívida consolidada do estado em relação à receita corrente líquida. Quanto menor, melhor. Abaixo de 60% da RCL = nota A.</t>
  </si>
  <si>
    <t>Poup. Corrente</t>
  </si>
  <si>
    <t>Acima de 95%: causa da nota C</t>
  </si>
  <si>
    <t>Mede quanto das receitas correntes é consumido pelas despesas correntes. Acima de 95% significa que o estado gasta quase tudo que arrecada só para se manter, sem sobrar para investir.</t>
  </si>
  <si>
    <t>Liquidez Relativa</t>
  </si>
  <si>
    <t>B</t>
  </si>
  <si>
    <t>Entre 0% e 5%</t>
  </si>
  <si>
    <t>Mede se o estado tem recursos disponíveis em caixa para honrar suas obrigações de curto prazo. Entre 0% e 5% = nota B.</t>
  </si>
  <si>
    <t>endividamento</t>
  </si>
  <si>
    <t>poupanca</t>
  </si>
  <si>
    <t>liquidez</t>
  </si>
  <si>
    <t>consolidado</t>
  </si>
  <si>
    <t>2018</t>
  </si>
  <si>
    <t>ND</t>
  </si>
  <si>
    <t>2019</t>
  </si>
  <si>
    <t>2020</t>
  </si>
  <si>
    <t>nome</t>
  </si>
  <si>
    <t>status</t>
  </si>
  <si>
    <t>Nova Saída Norte</t>
  </si>
  <si>
    <t>A contratar</t>
  </si>
  <si>
    <t>Avenida das Cidades</t>
  </si>
  <si>
    <t>Gestão do Aterro Sanitário</t>
  </si>
  <si>
    <t>Ecoparques</t>
  </si>
  <si>
    <t>Logística de Medicamentos</t>
  </si>
  <si>
    <t>Rede de Apoio de Diagnóstico</t>
  </si>
  <si>
    <t>Transporte Metroviário</t>
  </si>
  <si>
    <t>VLT na W3</t>
  </si>
  <si>
    <t>Processamento de roupas — Saúde</t>
  </si>
  <si>
    <t>BRT Sul e Oeste</t>
  </si>
  <si>
    <t>Suspenso</t>
  </si>
  <si>
    <t>Prestação dos serviços de iluminação pública</t>
  </si>
  <si>
    <t>Contratada</t>
  </si>
  <si>
    <t>despesas_ppp</t>
  </si>
  <si>
    <t>rcl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</si>
  <si>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</si>
  <si>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</si>
  <si>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</si>
  <si>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</si>
  <si>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</si>
  <si>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</si>
  <si>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</si>
  <si>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</si>
  <si>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</si>
  <si>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atual_pct</t>
  </si>
  <si>
    <t>alerta_pct</t>
  </si>
  <si>
    <t>prudencial_pct</t>
  </si>
  <si>
    <t>maximo_pct</t>
  </si>
  <si>
    <t>rcl_bi</t>
  </si>
  <si>
    <t>posicao</t>
  </si>
  <si>
    <t>Taxa de Investimentos</t>
  </si>
  <si>
    <t>Investimento liquidado dividido pela receita corrente líquida.</t>
  </si>
  <si>
    <t>Sucesso Planejamento Orçamentário</t>
  </si>
  <si>
    <t>Despesa liquidada pela despesa total atualizada (dotação orçamentária).</t>
  </si>
  <si>
    <t>Resultado Primário</t>
  </si>
  <si>
    <t>Diferença entre receita primária realizada e despesa primária empenhada no ano, dividida pelo PIB nominal do estado.</t>
  </si>
  <si>
    <t>Índice de Liquidez</t>
  </si>
  <si>
    <t>Obrigações financeiras divididas pelo caixa bruto. Quanto maior o indicador, pior.</t>
  </si>
  <si>
    <t>Regra de Ouro</t>
  </si>
  <si>
    <t>Diferença entre despesas de capital empenhadas e receita de operações de crédito, dividida pela receita corrente líquida.</t>
  </si>
  <si>
    <t>R$ 45,9 bi</t>
  </si>
  <si>
    <t>R$ 28,4 bi</t>
  </si>
  <si>
    <t>4,7%</t>
  </si>
  <si>
    <t>R$ 570 mi</t>
  </si>
  <si>
    <t>R$ 11,3 bi</t>
  </si>
  <si>
    <t>Média BR</t>
  </si>
  <si>
    <t>30,85%</t>
  </si>
  <si>
    <t>95,27%</t>
  </si>
  <si>
    <t>1,01%</t>
  </si>
  <si>
    <t>48% da receita de impostos</t>
  </si>
  <si>
    <t>Pior indicador: poupança corrente</t>
  </si>
  <si>
    <t>Dado de dez/2025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</si>
</sst>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"/>
    <numFmt numFmtId="165" formatCode="0_ ;\-0\ "/>
    <numFmt numFmtId="166" formatCode="#,##0.00_ ;\-#,##0.00\ 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49" fontId="1" fillId="0" borderId="0" xfId="0" applyNumberFormat="1" applyFont="1" applyAlignment="1">
      <alignment horizontal="right"/>
    </xf>
    <xf numFmtId="49" fontId="0" fillId="0" borderId="0" xfId="0" applyNumberFormat="1"/>
    <xf numFmtId="164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3" fillId="0" borderId="0" xfId="0" applyFont="1"/>
    <xf numFmtId="164" fontId="1" fillId="0" borderId="0" xfId="0" applyNumberFormat="1" applyFont="1"/>
    <xf numFmtId="49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5" fontId="1" fillId="0" borderId="0" xfId="1" applyNumberFormat="1" applyFont="1" applyAlignment="1">
      <alignment horizontal="right"/>
    </xf>
    <xf numFmtId="165" fontId="1" fillId="0" borderId="0" xfId="1" applyNumberFormat="1" applyFont="1"/>
    <xf numFmtId="166" fontId="1" fillId="0" borderId="0" xfId="1" applyNumberFormat="1" applyFont="1"/>
    <xf numFmtId="49" fontId="3" fillId="0" borderId="0" xfId="0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C6" sqref="C6"/>
    </sheetView>
  </sheetViews>
  <sheetFormatPr defaultColWidth="12.5703125" defaultRowHeight="15.75" customHeight="1" x14ac:dyDescent="0.2"/>
  <cols>
    <col min="1" max="1" width="14.42578125" bestFit="1" customWidth="1"/>
    <col min="2" max="2" width="14" style="5" bestFit="1" customWidth="1"/>
    <col min="3" max="3" width="29.85546875" customWidth="1"/>
    <col min="4" max="4" width="6.140625" bestFit="1" customWidth="1"/>
  </cols>
  <sheetData>
    <row r="1" spans="1:26" x14ac:dyDescent="0.2">
      <c r="A1" s="1" t="s">
        <v>0</v>
      </c>
      <c r="B1" s="2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4" t="s">
        <v>124</v>
      </c>
      <c r="C2" s="2"/>
      <c r="D2" s="2" t="s">
        <v>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" t="s">
        <v>6</v>
      </c>
      <c r="B3" s="4" t="s">
        <v>125</v>
      </c>
      <c r="C3" s="2" t="s">
        <v>7</v>
      </c>
      <c r="D3" s="2" t="s">
        <v>5</v>
      </c>
      <c r="E3" s="1"/>
      <c r="F3" s="1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" t="s">
        <v>8</v>
      </c>
      <c r="B4" s="4" t="s">
        <v>126</v>
      </c>
      <c r="C4" s="2" t="s">
        <v>9</v>
      </c>
      <c r="D4" s="2" t="s">
        <v>10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" t="s">
        <v>11</v>
      </c>
      <c r="B5" s="4" t="s">
        <v>12</v>
      </c>
      <c r="C5" s="2" t="s">
        <v>134</v>
      </c>
      <c r="D5" s="2" t="s">
        <v>13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" t="s">
        <v>14</v>
      </c>
      <c r="B6" s="4" t="s">
        <v>127</v>
      </c>
      <c r="C6" s="2" t="s">
        <v>135</v>
      </c>
      <c r="D6" s="2" t="s">
        <v>13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" t="s">
        <v>15</v>
      </c>
      <c r="B7" s="4" t="s">
        <v>128</v>
      </c>
      <c r="C7" s="15" t="s">
        <v>133</v>
      </c>
      <c r="D7" s="2" t="s">
        <v>10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4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activeCell="D16" sqref="D16"/>
    </sheetView>
  </sheetViews>
  <sheetFormatPr defaultColWidth="12.5703125" defaultRowHeight="15.75" customHeight="1" x14ac:dyDescent="0.2"/>
  <sheetData>
    <row r="1" spans="1:27" x14ac:dyDescent="0.2">
      <c r="A1" s="1" t="s">
        <v>16</v>
      </c>
      <c r="B1" s="3" t="s">
        <v>17</v>
      </c>
      <c r="C1" s="1" t="s">
        <v>18</v>
      </c>
      <c r="D1" s="1" t="s">
        <v>19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2" t="s">
        <v>20</v>
      </c>
      <c r="B2" s="6">
        <v>3.1</v>
      </c>
      <c r="C2" s="7">
        <v>27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2" t="s">
        <v>21</v>
      </c>
      <c r="B3" s="6">
        <v>3.4</v>
      </c>
      <c r="C3" s="7">
        <v>26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2" t="s">
        <v>22</v>
      </c>
      <c r="B4" s="6">
        <v>3.6</v>
      </c>
      <c r="C4" s="7">
        <v>25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2" t="s">
        <v>23</v>
      </c>
      <c r="B5" s="6">
        <v>3.6</v>
      </c>
      <c r="C5" s="7">
        <v>24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2" t="s">
        <v>24</v>
      </c>
      <c r="B6" s="6">
        <v>4.3</v>
      </c>
      <c r="C6" s="7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2" t="s">
        <v>25</v>
      </c>
      <c r="B7" s="6">
        <v>4.4000000000000004</v>
      </c>
      <c r="C7" s="7">
        <v>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2" t="s">
        <v>26</v>
      </c>
      <c r="B8" s="6">
        <v>4.5999999999999996</v>
      </c>
      <c r="C8" s="7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2" t="s">
        <v>27</v>
      </c>
      <c r="B9" s="6">
        <v>4.7</v>
      </c>
      <c r="C9" s="7">
        <v>20</v>
      </c>
      <c r="D9" s="1" t="s">
        <v>13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2" t="s">
        <v>28</v>
      </c>
      <c r="B10" s="6">
        <v>5.4</v>
      </c>
      <c r="C10" s="7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2" t="s">
        <v>29</v>
      </c>
      <c r="B11" s="6">
        <v>5.5</v>
      </c>
      <c r="C11" s="7">
        <v>18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2" t="s">
        <v>30</v>
      </c>
      <c r="B12" s="6">
        <v>5.9</v>
      </c>
      <c r="C12" s="7">
        <v>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2" t="s">
        <v>31</v>
      </c>
      <c r="B13" s="6">
        <v>6.5</v>
      </c>
      <c r="C13" s="7">
        <v>16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2" t="s">
        <v>32</v>
      </c>
      <c r="B14" s="6">
        <v>7.5</v>
      </c>
      <c r="C14" s="7">
        <v>15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2" t="s">
        <v>33</v>
      </c>
      <c r="B15" s="6">
        <v>8.4</v>
      </c>
      <c r="C15" s="7">
        <v>14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2" t="s">
        <v>35</v>
      </c>
      <c r="B16" s="6">
        <v>9.1999999999999993</v>
      </c>
      <c r="C16" s="7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2" t="s">
        <v>36</v>
      </c>
      <c r="B17" s="6">
        <v>9.4</v>
      </c>
      <c r="C17" s="7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2" t="s">
        <v>37</v>
      </c>
      <c r="B18" s="6">
        <v>9.9</v>
      </c>
      <c r="C18" s="7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2" t="s">
        <v>38</v>
      </c>
      <c r="B19" s="6">
        <v>10.5</v>
      </c>
      <c r="C19" s="7">
        <v>10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2" t="s">
        <v>39</v>
      </c>
      <c r="B20" s="6">
        <v>10.7</v>
      </c>
      <c r="C20" s="7"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2" t="s">
        <v>40</v>
      </c>
      <c r="B21" s="6">
        <v>11.2</v>
      </c>
      <c r="C21" s="7">
        <v>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2" t="s">
        <v>41</v>
      </c>
      <c r="B22" s="6">
        <v>12.1</v>
      </c>
      <c r="C22" s="7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2" t="s">
        <v>42</v>
      </c>
      <c r="B23" s="6">
        <v>12.1</v>
      </c>
      <c r="C23" s="7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2" t="s">
        <v>43</v>
      </c>
      <c r="B24" s="6">
        <v>12.6</v>
      </c>
      <c r="C24" s="7">
        <v>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2" t="s">
        <v>44</v>
      </c>
      <c r="B25" s="6">
        <v>13.3</v>
      </c>
      <c r="C25" s="7">
        <v>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2" t="s">
        <v>45</v>
      </c>
      <c r="B26" s="6">
        <v>14</v>
      </c>
      <c r="C26" s="7">
        <v>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2" t="s">
        <v>46</v>
      </c>
      <c r="B27" s="6">
        <v>14.8</v>
      </c>
      <c r="C27" s="7">
        <v>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2" t="s">
        <v>47</v>
      </c>
      <c r="B28" s="6">
        <v>17</v>
      </c>
      <c r="C28" s="7">
        <v>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8" t="s">
        <v>129</v>
      </c>
      <c r="B29" s="9">
        <f>AVERAGE(B2:B28)</f>
        <v>8.4333333333333336</v>
      </c>
      <c r="C29" s="1"/>
      <c r="D29" s="8" t="s">
        <v>34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"/>
      <c r="B30" s="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"/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3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3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3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3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3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3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3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3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3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3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3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3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3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3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3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3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3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3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3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3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3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3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3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3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3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3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3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3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3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3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3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3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3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3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3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3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3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3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3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3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3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3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3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3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3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3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3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3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3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3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3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3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3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3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3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3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3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3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3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3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3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3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3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3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3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3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3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3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3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3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3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3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3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3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3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3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3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3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3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3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3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3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3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3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3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3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3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3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3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3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3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3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3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3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3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3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3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3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3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3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3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3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3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3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3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3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3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3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3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3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3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3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3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3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3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3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3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3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3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3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3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3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3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3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3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3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3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3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3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3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3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3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3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3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3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3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3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3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3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3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3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3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3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3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3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3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3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3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3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3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3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3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3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3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3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3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3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3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3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3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3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3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3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3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3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3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3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3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3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3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3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3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3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3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3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3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3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3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3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3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3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3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3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3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3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3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3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3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3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3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3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3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3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3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3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3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3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3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3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3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3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3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3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3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3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3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3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3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3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3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3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3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3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3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3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3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3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3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3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3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3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3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3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3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3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3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3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3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3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3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3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3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3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3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3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3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3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3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3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3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3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3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3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3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3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3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3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3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3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3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3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3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3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3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3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3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3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3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3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3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3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3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3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3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3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3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3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3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3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3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3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3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3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3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3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3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3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3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3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3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3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3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3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3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3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3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3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3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3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3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3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3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3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3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3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3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3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3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3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3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3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3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3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3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3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3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3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3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3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3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3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3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3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3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3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3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3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3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3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3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3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3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3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3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3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3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3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3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3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3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3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3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3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3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3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3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3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3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3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3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3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3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3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3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3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3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3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3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3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3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3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3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3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3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3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3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3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3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3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3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3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3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3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3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3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3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3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3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3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3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3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3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3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3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3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3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3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3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3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3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3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3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3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3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3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3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3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3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3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3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3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3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3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3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3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3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3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3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3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3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3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3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3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3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3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3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3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3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3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3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3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3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3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3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3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3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3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3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3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3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3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3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3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3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3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3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3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3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3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3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3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3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3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3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3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3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3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3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3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3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3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3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3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3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3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3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3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3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3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3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3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3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3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3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3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3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3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3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3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3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3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3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3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3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3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3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3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3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3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3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3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3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3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3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3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3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3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3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3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3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3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3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3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3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3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3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3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3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3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3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3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3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3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3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3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3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3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3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3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3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3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3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3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3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3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3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3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3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3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3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3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3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3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3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3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3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3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3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3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3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3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3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3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3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3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3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3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3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3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3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3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3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3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3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3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3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3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3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3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3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3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3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3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3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3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3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3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3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3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3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3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3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3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3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3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3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3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3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3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3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3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3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3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3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3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3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3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3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3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3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3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3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3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3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3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3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3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3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3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3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3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3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3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3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3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3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3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3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3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3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3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3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3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3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3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3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3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3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3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3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3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3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3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3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3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3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3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3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3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3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3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3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3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3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3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3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3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3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3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3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3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3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3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3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3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3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3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3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3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3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3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3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3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3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3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3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3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3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3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3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3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3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3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3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3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3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3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3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3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3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3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3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3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3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3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3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3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3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3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3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3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3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3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3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3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3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3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3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3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3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3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3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3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3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3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3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3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3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3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3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3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3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3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3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3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3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3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3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3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3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3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3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3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3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3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3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3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3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6.5703125" bestFit="1" customWidth="1"/>
    <col min="3" max="3" width="15" bestFit="1" customWidth="1"/>
  </cols>
  <sheetData>
    <row r="1" spans="1:26" x14ac:dyDescent="0.2">
      <c r="A1" s="2" t="s">
        <v>48</v>
      </c>
      <c r="B1" s="2" t="s">
        <v>49</v>
      </c>
      <c r="C1" s="2" t="s">
        <v>50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51</v>
      </c>
      <c r="B2" s="12">
        <v>1920209349</v>
      </c>
      <c r="C2" s="12">
        <v>916943191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52</v>
      </c>
      <c r="B3" s="12">
        <v>1581433753</v>
      </c>
      <c r="C3" s="12">
        <v>-65395875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53</v>
      </c>
      <c r="B4" s="12">
        <v>2897237502</v>
      </c>
      <c r="C4" s="12">
        <v>414960383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54</v>
      </c>
      <c r="B5" s="12">
        <v>1868160949</v>
      </c>
      <c r="C5" s="12">
        <v>-645377136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55</v>
      </c>
      <c r="B6" s="12">
        <v>569983267</v>
      </c>
      <c r="C6" s="12">
        <v>-876632452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4" max="4" width="24.7109375" customWidth="1"/>
  </cols>
  <sheetData>
    <row r="1" spans="1:26" x14ac:dyDescent="0.2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62</v>
      </c>
      <c r="B2" s="2" t="s">
        <v>63</v>
      </c>
      <c r="C2" s="10" t="s">
        <v>130</v>
      </c>
      <c r="D2" s="2" t="s">
        <v>64</v>
      </c>
      <c r="E2" s="2" t="s">
        <v>34</v>
      </c>
      <c r="F2" s="2" t="s">
        <v>65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66</v>
      </c>
      <c r="B3" s="2" t="s">
        <v>12</v>
      </c>
      <c r="C3" s="10" t="s">
        <v>131</v>
      </c>
      <c r="D3" s="2" t="s">
        <v>67</v>
      </c>
      <c r="E3" s="2" t="s">
        <v>13</v>
      </c>
      <c r="F3" s="2" t="s">
        <v>68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69</v>
      </c>
      <c r="B4" s="2" t="s">
        <v>70</v>
      </c>
      <c r="C4" s="10" t="s">
        <v>132</v>
      </c>
      <c r="D4" s="2" t="s">
        <v>71</v>
      </c>
      <c r="E4" s="2" t="s">
        <v>10</v>
      </c>
      <c r="F4" s="2" t="s">
        <v>72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F16" sqref="F16"/>
    </sheetView>
  </sheetViews>
  <sheetFormatPr defaultColWidth="12.5703125" defaultRowHeight="15.75" customHeight="1" x14ac:dyDescent="0.2"/>
  <sheetData>
    <row r="1" spans="1:26" x14ac:dyDescent="0.2">
      <c r="A1" s="2" t="s">
        <v>48</v>
      </c>
      <c r="B1" s="2" t="s">
        <v>73</v>
      </c>
      <c r="C1" s="2" t="s">
        <v>74</v>
      </c>
      <c r="D1" s="2" t="s">
        <v>75</v>
      </c>
      <c r="E1" s="2" t="s">
        <v>76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77</v>
      </c>
      <c r="B2" s="2" t="s">
        <v>78</v>
      </c>
      <c r="C2" s="2" t="s">
        <v>78</v>
      </c>
      <c r="D2" s="2" t="s">
        <v>78</v>
      </c>
      <c r="E2" s="2" t="s">
        <v>12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79</v>
      </c>
      <c r="B3" s="2" t="s">
        <v>63</v>
      </c>
      <c r="C3" s="2" t="s">
        <v>12</v>
      </c>
      <c r="D3" s="2" t="s">
        <v>12</v>
      </c>
      <c r="E3" s="2" t="s">
        <v>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80</v>
      </c>
      <c r="B4" s="2" t="s">
        <v>63</v>
      </c>
      <c r="C4" s="2" t="s">
        <v>12</v>
      </c>
      <c r="D4" s="2" t="s">
        <v>12</v>
      </c>
      <c r="E4" s="2" t="s">
        <v>12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51</v>
      </c>
      <c r="B5" s="2" t="s">
        <v>63</v>
      </c>
      <c r="C5" s="2" t="s">
        <v>70</v>
      </c>
      <c r="D5" s="2" t="s">
        <v>63</v>
      </c>
      <c r="E5" s="2" t="s">
        <v>70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52</v>
      </c>
      <c r="B6" s="2" t="s">
        <v>63</v>
      </c>
      <c r="C6" s="2" t="s">
        <v>70</v>
      </c>
      <c r="D6" s="2" t="s">
        <v>63</v>
      </c>
      <c r="E6" s="2" t="s">
        <v>70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53</v>
      </c>
      <c r="B7" s="2" t="s">
        <v>63</v>
      </c>
      <c r="C7" s="2" t="s">
        <v>70</v>
      </c>
      <c r="D7" s="2" t="s">
        <v>63</v>
      </c>
      <c r="E7" s="2" t="s">
        <v>70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54</v>
      </c>
      <c r="B8" s="2" t="s">
        <v>63</v>
      </c>
      <c r="C8" s="2" t="s">
        <v>12</v>
      </c>
      <c r="D8" s="2" t="s">
        <v>70</v>
      </c>
      <c r="E8" s="2" t="s">
        <v>12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55</v>
      </c>
      <c r="B9" s="2" t="s">
        <v>63</v>
      </c>
      <c r="C9" s="2" t="s">
        <v>12</v>
      </c>
      <c r="D9" s="2" t="s">
        <v>70</v>
      </c>
      <c r="E9" s="2" t="s">
        <v>12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selection activeCell="C12" sqref="C12"/>
    </sheetView>
  </sheetViews>
  <sheetFormatPr defaultColWidth="12.5703125" defaultRowHeight="15.75" customHeight="1" x14ac:dyDescent="0.2"/>
  <cols>
    <col min="1" max="1" width="34.7109375" customWidth="1"/>
  </cols>
  <sheetData>
    <row r="1" spans="1:26" x14ac:dyDescent="0.2">
      <c r="A1" s="2" t="s">
        <v>81</v>
      </c>
      <c r="B1" s="2" t="s">
        <v>82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95</v>
      </c>
      <c r="B2" s="2" t="s">
        <v>96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83</v>
      </c>
      <c r="B3" s="2" t="s">
        <v>84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85</v>
      </c>
      <c r="B4" s="2" t="s">
        <v>84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86</v>
      </c>
      <c r="B5" s="2" t="s">
        <v>84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87</v>
      </c>
      <c r="B6" s="2" t="s">
        <v>84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88</v>
      </c>
      <c r="B7" s="2" t="s">
        <v>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89</v>
      </c>
      <c r="B8" s="2" t="s">
        <v>84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90</v>
      </c>
      <c r="B9" s="2" t="s">
        <v>84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91</v>
      </c>
      <c r="B10" s="2" t="s">
        <v>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92</v>
      </c>
      <c r="B11" s="2" t="s">
        <v>84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93</v>
      </c>
      <c r="B12" s="2" t="s">
        <v>94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2" max="2" width="16.5703125" bestFit="1" customWidth="1"/>
    <col min="3" max="3" width="17.7109375" bestFit="1" customWidth="1"/>
  </cols>
  <sheetData>
    <row r="1" spans="1:26" x14ac:dyDescent="0.2">
      <c r="A1" s="2" t="s">
        <v>48</v>
      </c>
      <c r="B1" s="2" t="s">
        <v>97</v>
      </c>
      <c r="C1" s="2" t="s">
        <v>98</v>
      </c>
      <c r="D1" s="2" t="s">
        <v>17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54</v>
      </c>
      <c r="B2" s="13">
        <v>45994989</v>
      </c>
      <c r="C2" s="13">
        <v>36114673967</v>
      </c>
      <c r="D2" s="14">
        <v>0.13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55</v>
      </c>
      <c r="B3" s="13">
        <v>90917920</v>
      </c>
      <c r="C3" s="13">
        <v>39201192140</v>
      </c>
      <c r="D3" s="14">
        <v>0.23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99</v>
      </c>
      <c r="B4" s="13">
        <v>1260702458</v>
      </c>
      <c r="C4" s="13">
        <v>39949057610</v>
      </c>
      <c r="D4" s="14">
        <v>3.16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100</v>
      </c>
      <c r="B5" s="13">
        <v>1215885481</v>
      </c>
      <c r="C5" s="13">
        <v>40711190573</v>
      </c>
      <c r="D5" s="14">
        <v>2.99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101</v>
      </c>
      <c r="B6" s="13">
        <v>1185325620</v>
      </c>
      <c r="C6" s="13">
        <v>41487863219</v>
      </c>
      <c r="D6" s="14">
        <v>2.86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102</v>
      </c>
      <c r="B7" s="13">
        <v>1142180763</v>
      </c>
      <c r="C7" s="13">
        <v>42279352932</v>
      </c>
      <c r="D7" s="14">
        <v>2.7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103</v>
      </c>
      <c r="B8" s="13">
        <v>1099291965</v>
      </c>
      <c r="C8" s="13">
        <v>43085942385</v>
      </c>
      <c r="D8" s="14">
        <v>2.5499999999999998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104</v>
      </c>
      <c r="B9" s="13">
        <v>1057320536</v>
      </c>
      <c r="C9" s="13">
        <v>43907919646</v>
      </c>
      <c r="D9" s="14">
        <v>2.41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105</v>
      </c>
      <c r="B10" s="13">
        <v>1014191341</v>
      </c>
      <c r="C10" s="13">
        <v>44745578277</v>
      </c>
      <c r="D10" s="14">
        <v>2.27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106</v>
      </c>
      <c r="B11" s="13">
        <v>971418599</v>
      </c>
      <c r="C11" s="13">
        <v>45599217441</v>
      </c>
      <c r="D11" s="14">
        <v>2.13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107</v>
      </c>
      <c r="B12" s="13">
        <v>928983531</v>
      </c>
      <c r="C12" s="13">
        <v>46469142010</v>
      </c>
      <c r="D12" s="14">
        <v>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7.28515625" customWidth="1"/>
  </cols>
  <sheetData>
    <row r="1" spans="1:26" x14ac:dyDescent="0.2">
      <c r="A1" s="2" t="s">
        <v>0</v>
      </c>
      <c r="B1" s="2" t="s">
        <v>58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108</v>
      </c>
      <c r="B2" s="11">
        <v>41.5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109</v>
      </c>
      <c r="B3" s="11">
        <v>44.1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110</v>
      </c>
      <c r="B4" s="11">
        <v>46.55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111</v>
      </c>
      <c r="B5" s="11">
        <v>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112</v>
      </c>
      <c r="B6" s="11">
        <v>39.200000000000003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1000"/>
  <sheetViews>
    <sheetView workbookViewId="0">
      <selection activeCell="D11" sqref="D11"/>
    </sheetView>
  </sheetViews>
  <sheetFormatPr defaultColWidth="12.5703125" defaultRowHeight="15.75" customHeight="1" x14ac:dyDescent="0.2"/>
  <cols>
    <col min="1" max="1" width="28.5703125" customWidth="1"/>
  </cols>
  <sheetData>
    <row r="1" spans="1:24" x14ac:dyDescent="0.2">
      <c r="A1" s="2" t="s">
        <v>56</v>
      </c>
      <c r="B1" s="2" t="s">
        <v>113</v>
      </c>
      <c r="C1" s="2" t="s">
        <v>61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114</v>
      </c>
      <c r="B2" s="7">
        <v>25</v>
      </c>
      <c r="C2" s="2" t="s">
        <v>115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116</v>
      </c>
      <c r="B3" s="7">
        <v>23</v>
      </c>
      <c r="C3" s="2" t="s">
        <v>117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 t="s">
        <v>118</v>
      </c>
      <c r="B4" s="7">
        <v>22</v>
      </c>
      <c r="C4" s="2" t="s">
        <v>119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120</v>
      </c>
      <c r="B5" s="7">
        <v>22</v>
      </c>
      <c r="C5" s="2" t="s">
        <v>121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">
      <c r="A6" s="2" t="s">
        <v>122</v>
      </c>
      <c r="B6" s="7">
        <v>23</v>
      </c>
      <c r="C6" s="2" t="s">
        <v>123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kpis</vt:lpstr>
      <vt:lpstr>investimentos</vt:lpstr>
      <vt:lpstr>caixa</vt:lpstr>
      <vt:lpstr>capag</vt:lpstr>
      <vt:lpstr>capag_historico</vt:lpstr>
      <vt:lpstr>ppps</vt:lpstr>
      <vt:lpstr>ppps_projecao</vt:lpstr>
      <vt:lpstr>pessoal</vt:lpstr>
      <vt:lpstr>clp_ranking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Couri</dc:creator>
  <cp:lastModifiedBy>Daniel Veloso Couri</cp:lastModifiedBy>
  <dcterms:created xsi:type="dcterms:W3CDTF">2026-04-14T18:22:14Z</dcterms:created>
  <dcterms:modified xsi:type="dcterms:W3CDTF">2026-04-15T17:00:32Z</dcterms:modified>
</cp:coreProperties>
</file>